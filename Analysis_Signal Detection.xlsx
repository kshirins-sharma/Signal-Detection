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 310\"/>
    </mc:Choice>
  </mc:AlternateContent>
  <xr:revisionPtr revIDLastSave="0" documentId="13_ncr:1_{D6A76816-75A1-4F6B-94BE-97CABBD7C97C}" xr6:coauthVersionLast="47" xr6:coauthVersionMax="47" xr10:uidLastSave="{00000000-0000-0000-0000-000000000000}"/>
  <bookViews>
    <workbookView xWindow="-110" yWindow="-110" windowWidth="19420" windowHeight="11500" xr2:uid="{43145137-D154-4C9A-927C-5ED231324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I102" i="1"/>
  <c r="H102" i="1"/>
  <c r="G102" i="1"/>
  <c r="F102" i="1"/>
  <c r="J106" i="1" l="1"/>
  <c r="J105" i="1"/>
  <c r="J108" i="1" l="1"/>
  <c r="J109" i="1"/>
</calcChain>
</file>

<file path=xl/sharedStrings.xml><?xml version="1.0" encoding="utf-8"?>
<sst xmlns="http://schemas.openxmlformats.org/spreadsheetml/2006/main" count="419" uniqueCount="20">
  <si>
    <t>key_resp.keys</t>
  </si>
  <si>
    <t>key_resp.corr</t>
  </si>
  <si>
    <t>tilt</t>
  </si>
  <si>
    <t>Hit</t>
  </si>
  <si>
    <t>Miss</t>
  </si>
  <si>
    <t xml:space="preserve">False Alarm </t>
  </si>
  <si>
    <t>Correct Rejection</t>
  </si>
  <si>
    <t>up</t>
  </si>
  <si>
    <t/>
  </si>
  <si>
    <t>down</t>
  </si>
  <si>
    <t>SUM</t>
  </si>
  <si>
    <t>Hits</t>
  </si>
  <si>
    <t>False Alarm</t>
  </si>
  <si>
    <t>Proportion Hit</t>
  </si>
  <si>
    <t>Proportion False Alarma</t>
  </si>
  <si>
    <t>d-prime</t>
  </si>
  <si>
    <t>c</t>
  </si>
  <si>
    <t>Trials</t>
  </si>
  <si>
    <t xml:space="preserve">Correct Response </t>
  </si>
  <si>
    <t>Incorrect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</si>
</sst>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0" borderId="0" xfId="1" applyFont="1"/>
    <xf numFmtId="0" fontId="0" fillId="4" borderId="1" xfId="0" applyFill="1" applyBorder="1"/>
    <xf numFmtId="0" fontId="0" fillId="5" borderId="1" xfId="0" applyFill="1" applyBorder="1"/>
    <xf numFmtId="0" fontId="0" fillId="2" borderId="2" xfId="0" applyFill="1" applyBorder="1" applyAlignment="1">
      <alignment horizontal="right"/>
    </xf>
    <xf numFmtId="0" fontId="0" fillId="3" borderId="0" xfId="0" applyFill="1"/>
    <xf numFmtId="0" fontId="0" fillId="6" borderId="1" xfId="0" applyFill="1" applyBorder="1"/>
    <xf numFmtId="0" fontId="0" fillId="2" borderId="0" xfId="0" applyFill="1"/>
    <xf numFmtId="0" fontId="0" fillId="5" borderId="3" xfId="0" applyFill="1" applyBorder="1"/>
  </cellXfs>
  <cellStyles count="2">
    <cellStyle name="Normal" xfId="0" builtinId="0"/>
    <cellStyle name="Normal 2" xfId="1" xr:uid="{FB73E330-0B04-4C6C-99B7-234C1F696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Values- Hits, Miss, FA &amp; 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Sheet1!$F$105:$F$108</c:f>
              <c:strCache>
                <c:ptCount val="4"/>
                <c:pt idx="0">
                  <c:v>Hits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Sheet1!$G$105:$G$108</c:f>
              <c:numCache>
                <c:formatCode>General</c:formatCode>
                <c:ptCount val="4"/>
                <c:pt idx="0">
                  <c:v>43</c:v>
                </c:pt>
                <c:pt idx="1">
                  <c:v>12</c:v>
                </c:pt>
                <c:pt idx="2">
                  <c:v>17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A-4E39-8822-68E109F0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0129424"/>
        <c:axId val="117980304"/>
        <c:axId val="0"/>
      </c:bar3DChart>
      <c:catAx>
        <c:axId val="45012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0304"/>
        <c:crosses val="autoZero"/>
        <c:auto val="1"/>
        <c:lblAlgn val="ctr"/>
        <c:lblOffset val="100"/>
        <c:noMultiLvlLbl val="0"/>
      </c:catAx>
      <c:valAx>
        <c:axId val="1179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2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Signal</a:t>
            </a:r>
            <a:r>
              <a:rPr lang="en-IN" baseline="0">
                <a:solidFill>
                  <a:sysClr val="windowText" lastClr="000000"/>
                </a:solidFill>
              </a:rPr>
              <a:t> Detection Measures</a:t>
            </a:r>
            <a:endParaRPr lang="en-I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Sheet1!$I$108:$I$109</c:f>
              <c:strCache>
                <c:ptCount val="2"/>
                <c:pt idx="0">
                  <c:v>d-prime</c:v>
                </c:pt>
                <c:pt idx="1">
                  <c:v>c</c:v>
                </c:pt>
              </c:strCache>
            </c:strRef>
          </c:cat>
          <c:val>
            <c:numRef>
              <c:f>Sheet1!$J$108:$J$109</c:f>
              <c:numCache>
                <c:formatCode>General</c:formatCode>
                <c:ptCount val="2"/>
                <c:pt idx="0">
                  <c:v>1.0896708020289854</c:v>
                </c:pt>
                <c:pt idx="1">
                  <c:v>-0.23351302137035138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8-4F73-BBE9-75FE70DAD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0115968"/>
        <c:axId val="179577744"/>
        <c:axId val="0"/>
      </c:bar3DChart>
      <c:catAx>
        <c:axId val="450115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ysClr val="windowText" lastClr="000000"/>
                    </a:solidFill>
                  </a:rPr>
                  <a:t>d'</a:t>
                </a:r>
                <a:r>
                  <a:rPr lang="en-IN" baseline="0">
                    <a:solidFill>
                      <a:sysClr val="windowText" lastClr="000000"/>
                    </a:solidFill>
                  </a:rPr>
                  <a:t> and Criterion</a:t>
                </a:r>
                <a:endParaRPr lang="en-IN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7744"/>
        <c:crosses val="autoZero"/>
        <c:auto val="1"/>
        <c:lblAlgn val="ctr"/>
        <c:lblOffset val="100"/>
        <c:noMultiLvlLbl val="0"/>
      </c:catAx>
      <c:valAx>
        <c:axId val="17957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ysClr val="windowText" lastClr="000000"/>
                    </a:solidFill>
                  </a:rPr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1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Tilts</a:t>
            </a:r>
            <a:r>
              <a:rPr lang="en-US" baseline="0">
                <a:solidFill>
                  <a:sysClr val="windowText" lastClr="000000"/>
                </a:solidFill>
              </a:rPr>
              <a:t> across Trials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Sheet1!$D$2:$D$101</c:f>
              <c:numCache>
                <c:formatCode>General</c:formatCode>
                <c:ptCount val="100"/>
                <c:pt idx="0">
                  <c:v>-1</c:v>
                </c:pt>
                <c:pt idx="1">
                  <c:v>-4</c:v>
                </c:pt>
                <c:pt idx="2">
                  <c:v>0</c:v>
                </c:pt>
                <c:pt idx="3">
                  <c:v>-5</c:v>
                </c:pt>
                <c:pt idx="4">
                  <c:v>0</c:v>
                </c:pt>
                <c:pt idx="5">
                  <c:v>1</c:v>
                </c:pt>
                <c:pt idx="6">
                  <c:v>-4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</c:v>
                </c:pt>
                <c:pt idx="12">
                  <c:v>0</c:v>
                </c:pt>
                <c:pt idx="13">
                  <c:v>-4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-3</c:v>
                </c:pt>
                <c:pt idx="20">
                  <c:v>-5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-3</c:v>
                </c:pt>
                <c:pt idx="48">
                  <c:v>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-2</c:v>
                </c:pt>
                <c:pt idx="53">
                  <c:v>0</c:v>
                </c:pt>
                <c:pt idx="54">
                  <c:v>0</c:v>
                </c:pt>
                <c:pt idx="55">
                  <c:v>-4</c:v>
                </c:pt>
                <c:pt idx="56">
                  <c:v>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-2</c:v>
                </c:pt>
                <c:pt idx="67">
                  <c:v>0</c:v>
                </c:pt>
                <c:pt idx="68">
                  <c:v>-1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-4</c:v>
                </c:pt>
                <c:pt idx="73">
                  <c:v>4</c:v>
                </c:pt>
                <c:pt idx="74">
                  <c:v>-5</c:v>
                </c:pt>
                <c:pt idx="75">
                  <c:v>-3</c:v>
                </c:pt>
                <c:pt idx="76">
                  <c:v>0</c:v>
                </c:pt>
                <c:pt idx="77">
                  <c:v>0</c:v>
                </c:pt>
                <c:pt idx="78">
                  <c:v>-5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-2</c:v>
                </c:pt>
                <c:pt idx="83">
                  <c:v>-1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-5</c:v>
                </c:pt>
                <c:pt idx="88">
                  <c:v>0</c:v>
                </c:pt>
                <c:pt idx="89">
                  <c:v>0</c:v>
                </c:pt>
                <c:pt idx="90">
                  <c:v>-4</c:v>
                </c:pt>
                <c:pt idx="91">
                  <c:v>0</c:v>
                </c:pt>
                <c:pt idx="92">
                  <c:v>0</c:v>
                </c:pt>
                <c:pt idx="93">
                  <c:v>-1</c:v>
                </c:pt>
                <c:pt idx="94">
                  <c:v>0</c:v>
                </c:pt>
                <c:pt idx="95">
                  <c:v>-3</c:v>
                </c:pt>
                <c:pt idx="96">
                  <c:v>-1</c:v>
                </c:pt>
                <c:pt idx="97">
                  <c:v>0</c:v>
                </c:pt>
                <c:pt idx="98">
                  <c:v>4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F-4116-B443-AFFFBD1D2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461888"/>
        <c:axId val="179481744"/>
      </c:lineChart>
      <c:catAx>
        <c:axId val="22546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ysClr val="windowText" lastClr="000000"/>
                    </a:solidFill>
                  </a:rPr>
                  <a:t>No.</a:t>
                </a:r>
                <a:r>
                  <a:rPr lang="en-IN" baseline="0">
                    <a:solidFill>
                      <a:sysClr val="windowText" lastClr="000000"/>
                    </a:solidFill>
                  </a:rPr>
                  <a:t> of tilts</a:t>
                </a:r>
                <a:endParaRPr lang="en-IN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81744"/>
        <c:crosses val="autoZero"/>
        <c:auto val="1"/>
        <c:lblAlgn val="ctr"/>
        <c:lblOffset val="100"/>
        <c:noMultiLvlLbl val="0"/>
      </c:catAx>
      <c:valAx>
        <c:axId val="1794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ysClr val="windowText" lastClr="000000"/>
                    </a:solidFill>
                  </a:rPr>
                  <a:t>Tilts</a:t>
                </a:r>
                <a:r>
                  <a:rPr lang="en-IN" baseline="0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r>
                  <a:rPr lang="en-IN" baseline="0">
                    <a:solidFill>
                      <a:sysClr val="windowText" lastClr="000000"/>
                    </a:solidFill>
                  </a:rPr>
                  <a:t>+ = Clockwise, - = Counterclockwise</a:t>
                </a:r>
                <a:endParaRPr lang="en-IN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6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Tilt vs. Response Accuracy per Trial</a:t>
            </a:r>
            <a:r>
              <a:rPr lang="en-IN" baseline="0">
                <a:solidFill>
                  <a:sysClr val="windowText" lastClr="000000"/>
                </a:solidFill>
              </a:rPr>
              <a:t> </a:t>
            </a:r>
            <a:endParaRPr lang="en-I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Sheet1!$D$2:$D$105</c:f>
              <c:numCache>
                <c:formatCode>General</c:formatCode>
                <c:ptCount val="104"/>
                <c:pt idx="0">
                  <c:v>-1</c:v>
                </c:pt>
                <c:pt idx="1">
                  <c:v>-4</c:v>
                </c:pt>
                <c:pt idx="2">
                  <c:v>0</c:v>
                </c:pt>
                <c:pt idx="3">
                  <c:v>-5</c:v>
                </c:pt>
                <c:pt idx="4">
                  <c:v>0</c:v>
                </c:pt>
                <c:pt idx="5">
                  <c:v>1</c:v>
                </c:pt>
                <c:pt idx="6">
                  <c:v>-4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</c:v>
                </c:pt>
                <c:pt idx="12">
                  <c:v>0</c:v>
                </c:pt>
                <c:pt idx="13">
                  <c:v>-4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-3</c:v>
                </c:pt>
                <c:pt idx="20">
                  <c:v>-5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-3</c:v>
                </c:pt>
                <c:pt idx="48">
                  <c:v>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-2</c:v>
                </c:pt>
                <c:pt idx="53">
                  <c:v>0</c:v>
                </c:pt>
                <c:pt idx="54">
                  <c:v>0</c:v>
                </c:pt>
                <c:pt idx="55">
                  <c:v>-4</c:v>
                </c:pt>
                <c:pt idx="56">
                  <c:v>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-2</c:v>
                </c:pt>
                <c:pt idx="67">
                  <c:v>0</c:v>
                </c:pt>
                <c:pt idx="68">
                  <c:v>-1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-4</c:v>
                </c:pt>
                <c:pt idx="73">
                  <c:v>4</c:v>
                </c:pt>
                <c:pt idx="74">
                  <c:v>-5</c:v>
                </c:pt>
                <c:pt idx="75">
                  <c:v>-3</c:v>
                </c:pt>
                <c:pt idx="76">
                  <c:v>0</c:v>
                </c:pt>
                <c:pt idx="77">
                  <c:v>0</c:v>
                </c:pt>
                <c:pt idx="78">
                  <c:v>-5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-2</c:v>
                </c:pt>
                <c:pt idx="83">
                  <c:v>-1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-5</c:v>
                </c:pt>
                <c:pt idx="88">
                  <c:v>0</c:v>
                </c:pt>
                <c:pt idx="89">
                  <c:v>0</c:v>
                </c:pt>
                <c:pt idx="90">
                  <c:v>-4</c:v>
                </c:pt>
                <c:pt idx="91">
                  <c:v>0</c:v>
                </c:pt>
                <c:pt idx="92">
                  <c:v>0</c:v>
                </c:pt>
                <c:pt idx="93">
                  <c:v>-1</c:v>
                </c:pt>
                <c:pt idx="94">
                  <c:v>0</c:v>
                </c:pt>
                <c:pt idx="95">
                  <c:v>-3</c:v>
                </c:pt>
                <c:pt idx="96">
                  <c:v>-1</c:v>
                </c:pt>
                <c:pt idx="97">
                  <c:v>0</c:v>
                </c:pt>
                <c:pt idx="98">
                  <c:v>4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B-4E45-B620-0C7B59DC3F26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Correct Response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</c:marker>
          <c:val>
            <c:numRef>
              <c:f>Sheet1!$K$2:$K$105</c:f>
              <c:numCache>
                <c:formatCode>General</c:formatCode>
                <c:ptCount val="104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-5</c:v>
                </c:pt>
                <c:pt idx="4">
                  <c:v>0</c:v>
                </c:pt>
                <c:pt idx="5">
                  <c:v>1</c:v>
                </c:pt>
                <c:pt idx="6">
                  <c:v>#N/A</c:v>
                </c:pt>
                <c:pt idx="7">
                  <c:v>3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  <c:pt idx="11">
                  <c:v>-4</c:v>
                </c:pt>
                <c:pt idx="12">
                  <c:v>#N/A</c:v>
                </c:pt>
                <c:pt idx="13">
                  <c:v>-4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-3</c:v>
                </c:pt>
                <c:pt idx="20">
                  <c:v>-5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#N/A</c:v>
                </c:pt>
                <c:pt idx="25">
                  <c:v>#N/A</c:v>
                </c:pt>
                <c:pt idx="26">
                  <c:v>3</c:v>
                </c:pt>
                <c:pt idx="27">
                  <c:v>0</c:v>
                </c:pt>
                <c:pt idx="28">
                  <c:v>#N/A</c:v>
                </c:pt>
                <c:pt idx="29">
                  <c:v>0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#N/A</c:v>
                </c:pt>
                <c:pt idx="39">
                  <c:v>#N/A</c:v>
                </c:pt>
                <c:pt idx="40">
                  <c:v>0</c:v>
                </c:pt>
                <c:pt idx="41">
                  <c:v>0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</c:v>
                </c:pt>
                <c:pt idx="46">
                  <c:v>#N/A</c:v>
                </c:pt>
                <c:pt idx="47">
                  <c:v>-3</c:v>
                </c:pt>
                <c:pt idx="48">
                  <c:v>-2</c:v>
                </c:pt>
                <c:pt idx="49">
                  <c:v>0</c:v>
                </c:pt>
                <c:pt idx="50">
                  <c:v>#N/A</c:v>
                </c:pt>
                <c:pt idx="51">
                  <c:v>#N/A</c:v>
                </c:pt>
                <c:pt idx="52">
                  <c:v>-2</c:v>
                </c:pt>
                <c:pt idx="53">
                  <c:v>#N/A</c:v>
                </c:pt>
                <c:pt idx="54">
                  <c:v>#N/A</c:v>
                </c:pt>
                <c:pt idx="55">
                  <c:v>-4</c:v>
                </c:pt>
                <c:pt idx="56">
                  <c:v>-3</c:v>
                </c:pt>
                <c:pt idx="57">
                  <c:v>0</c:v>
                </c:pt>
                <c:pt idx="58">
                  <c:v>#N/A</c:v>
                </c:pt>
                <c:pt idx="59">
                  <c:v>0</c:v>
                </c:pt>
                <c:pt idx="60">
                  <c:v>#N/A</c:v>
                </c:pt>
                <c:pt idx="61">
                  <c:v>3</c:v>
                </c:pt>
                <c:pt idx="62">
                  <c:v>0</c:v>
                </c:pt>
                <c:pt idx="63">
                  <c:v>#N/A</c:v>
                </c:pt>
                <c:pt idx="64">
                  <c:v>3</c:v>
                </c:pt>
                <c:pt idx="65">
                  <c:v>#N/A</c:v>
                </c:pt>
                <c:pt idx="66">
                  <c:v>#N/A</c:v>
                </c:pt>
                <c:pt idx="67">
                  <c:v>0</c:v>
                </c:pt>
                <c:pt idx="68">
                  <c:v>#N/A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-4</c:v>
                </c:pt>
                <c:pt idx="73">
                  <c:v>4</c:v>
                </c:pt>
                <c:pt idx="74">
                  <c:v>-5</c:v>
                </c:pt>
                <c:pt idx="75">
                  <c:v>-3</c:v>
                </c:pt>
                <c:pt idx="76">
                  <c:v>#N/A</c:v>
                </c:pt>
                <c:pt idx="77">
                  <c:v>0</c:v>
                </c:pt>
                <c:pt idx="78">
                  <c:v>-5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-2</c:v>
                </c:pt>
                <c:pt idx="83">
                  <c:v>#N/A</c:v>
                </c:pt>
                <c:pt idx="84">
                  <c:v>3</c:v>
                </c:pt>
                <c:pt idx="85">
                  <c:v>#N/A</c:v>
                </c:pt>
                <c:pt idx="86">
                  <c:v>0</c:v>
                </c:pt>
                <c:pt idx="87">
                  <c:v>-5</c:v>
                </c:pt>
                <c:pt idx="88">
                  <c:v>0</c:v>
                </c:pt>
                <c:pt idx="89">
                  <c:v>0</c:v>
                </c:pt>
                <c:pt idx="90">
                  <c:v>#N/A</c:v>
                </c:pt>
                <c:pt idx="91">
                  <c:v>0</c:v>
                </c:pt>
                <c:pt idx="92">
                  <c:v>0</c:v>
                </c:pt>
                <c:pt idx="93">
                  <c:v>#N/A</c:v>
                </c:pt>
                <c:pt idx="94">
                  <c:v>0</c:v>
                </c:pt>
                <c:pt idx="95">
                  <c:v>-3</c:v>
                </c:pt>
                <c:pt idx="96">
                  <c:v>#N/A</c:v>
                </c:pt>
                <c:pt idx="97">
                  <c:v>0</c:v>
                </c:pt>
                <c:pt idx="98">
                  <c:v>4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B-4E45-B620-0C7B59DC3F26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Incorrect Response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val>
            <c:numRef>
              <c:f>Sheet1!$L$2:$L$105</c:f>
              <c:numCache>
                <c:formatCode>General</c:formatCode>
                <c:ptCount val="104"/>
                <c:pt idx="0">
                  <c:v>-1</c:v>
                </c:pt>
                <c:pt idx="1">
                  <c:v>-4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-4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0</c:v>
                </c:pt>
                <c:pt idx="11">
                  <c:v>#N/A</c:v>
                </c:pt>
                <c:pt idx="12">
                  <c:v>0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</c:v>
                </c:pt>
                <c:pt idx="25">
                  <c:v>0</c:v>
                </c:pt>
                <c:pt idx="26">
                  <c:v>#N/A</c:v>
                </c:pt>
                <c:pt idx="27">
                  <c:v>#N/A</c:v>
                </c:pt>
                <c:pt idx="28">
                  <c:v>1</c:v>
                </c:pt>
                <c:pt idx="29">
                  <c:v>#N/A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-1</c:v>
                </c:pt>
                <c:pt idx="39">
                  <c:v>0</c:v>
                </c:pt>
                <c:pt idx="40">
                  <c:v>#N/A</c:v>
                </c:pt>
                <c:pt idx="41">
                  <c:v>#N/A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#N/A</c:v>
                </c:pt>
                <c:pt idx="46">
                  <c:v>4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0</c:v>
                </c:pt>
                <c:pt idx="51">
                  <c:v>0</c:v>
                </c:pt>
                <c:pt idx="52">
                  <c:v>#N/A</c:v>
                </c:pt>
                <c:pt idx="53">
                  <c:v>0</c:v>
                </c:pt>
                <c:pt idx="54">
                  <c:v>0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0</c:v>
                </c:pt>
                <c:pt idx="59">
                  <c:v>#N/A</c:v>
                </c:pt>
                <c:pt idx="60">
                  <c:v>1</c:v>
                </c:pt>
                <c:pt idx="61">
                  <c:v>#N/A</c:v>
                </c:pt>
                <c:pt idx="62">
                  <c:v>#N/A</c:v>
                </c:pt>
                <c:pt idx="63">
                  <c:v>2</c:v>
                </c:pt>
                <c:pt idx="64">
                  <c:v>#N/A</c:v>
                </c:pt>
                <c:pt idx="65">
                  <c:v>1</c:v>
                </c:pt>
                <c:pt idx="66">
                  <c:v>-2</c:v>
                </c:pt>
                <c:pt idx="67">
                  <c:v>#N/A</c:v>
                </c:pt>
                <c:pt idx="68">
                  <c:v>-1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0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-1</c:v>
                </c:pt>
                <c:pt idx="84">
                  <c:v>#N/A</c:v>
                </c:pt>
                <c:pt idx="85">
                  <c:v>0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-4</c:v>
                </c:pt>
                <c:pt idx="91">
                  <c:v>#N/A</c:v>
                </c:pt>
                <c:pt idx="92">
                  <c:v>#N/A</c:v>
                </c:pt>
                <c:pt idx="93">
                  <c:v>-1</c:v>
                </c:pt>
                <c:pt idx="94">
                  <c:v>#N/A</c:v>
                </c:pt>
                <c:pt idx="95">
                  <c:v>#N/A</c:v>
                </c:pt>
                <c:pt idx="96">
                  <c:v>-1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8B-4E45-B620-0C7B59DC3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837215"/>
        <c:axId val="1095215791"/>
      </c:lineChart>
      <c:catAx>
        <c:axId val="134183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/>
                    </a:solidFill>
                  </a:rPr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215791"/>
        <c:crosses val="autoZero"/>
        <c:auto val="1"/>
        <c:lblAlgn val="ctr"/>
        <c:lblOffset val="100"/>
        <c:noMultiLvlLbl val="0"/>
      </c:catAx>
      <c:valAx>
        <c:axId val="10952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/>
                    </a:solidFill>
                  </a:rPr>
                  <a:t>Tilts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3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147684</xdr:colOff>
      <xdr:row>3</xdr:row>
      <xdr:rowOff>73506</xdr:rowOff>
    </xdr:from>
    <xdr:to>
      <xdr:col>30</xdr:col>
      <xdr:colOff>126999</xdr:colOff>
      <xdr:row>39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84C22-F5DB-FED0-C441-DD13D0913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128923</xdr:colOff>
      <xdr:row>41</xdr:row>
      <xdr:rowOff>124017</xdr:rowOff>
    </xdr:from>
    <xdr:to>
      <xdr:col>30</xdr:col>
      <xdr:colOff>111124</xdr:colOff>
      <xdr:row>74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3D921-1CC8-14A0-56EB-63C11D768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201082</xdr:colOff>
      <xdr:row>77</xdr:row>
      <xdr:rowOff>152398</xdr:rowOff>
    </xdr:from>
    <xdr:to>
      <xdr:col>36</xdr:col>
      <xdr:colOff>190500</xdr:colOff>
      <xdr:row>120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BE3D03-89F8-D77F-3522-19C8C44F0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224377</xdr:colOff>
      <xdr:row>122</xdr:row>
      <xdr:rowOff>147662</xdr:rowOff>
    </xdr:from>
    <xdr:to>
      <xdr:col>36</xdr:col>
      <xdr:colOff>173182</xdr:colOff>
      <xdr:row>163</xdr:row>
      <xdr:rowOff>57728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F7CD3C-523C-1A8C-8017-D3B89C828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7A0D-02BB-4240-BE4A-83C4D5C57236}">
  <dimension ref="A1:L170"/>
  <sheetViews>
    <sheetView tabSelected="1" topLeftCell="E1" zoomScale="48" zoomScaleNormal="55" workbookViewId="0">
      <selection activeCell="AI31" sqref="AI31"/>
    </sheetView>
  </sheetViews>
  <sheetFormatPr defaultRowHeight="14.5" x14ac:dyDescent="0.35"/>
  <cols>
    <col min="2" max="2" width="13.90625" bestFit="1" customWidth="1"/>
    <col min="3" max="3" width="15.08984375" customWidth="1"/>
    <col min="4" max="4" width="17.453125" style="8" customWidth="1"/>
    <col min="6" max="6" width="16.54296875" bestFit="1" customWidth="1"/>
    <col min="7" max="7" width="11.81640625" customWidth="1"/>
    <col min="8" max="8" width="12.54296875" bestFit="1" customWidth="1"/>
    <col min="9" max="9" width="23.81640625" bestFit="1" customWidth="1"/>
    <col min="11" max="11" width="19.6328125" bestFit="1" customWidth="1"/>
    <col min="12" max="12" width="20.54296875" bestFit="1" customWidth="1"/>
  </cols>
  <sheetData>
    <row r="1" spans="1:12" x14ac:dyDescent="0.35">
      <c r="A1" s="10" t="s">
        <v>17</v>
      </c>
      <c r="B1" s="1" t="s">
        <v>0</v>
      </c>
      <c r="C1" s="1" t="s">
        <v>1</v>
      </c>
      <c r="D1" s="1" t="s">
        <v>2</v>
      </c>
      <c r="F1" s="9" t="s">
        <v>3</v>
      </c>
      <c r="G1" s="9" t="s">
        <v>4</v>
      </c>
      <c r="H1" s="9" t="s">
        <v>5</v>
      </c>
      <c r="I1" s="9" t="s">
        <v>6</v>
      </c>
      <c r="K1" s="11" t="s">
        <v>18</v>
      </c>
      <c r="L1" s="6" t="s">
        <v>19</v>
      </c>
    </row>
    <row r="2" spans="1:12" x14ac:dyDescent="0.35">
      <c r="A2">
        <v>1</v>
      </c>
      <c r="B2" s="3" t="s">
        <v>7</v>
      </c>
      <c r="C2" s="3">
        <v>0</v>
      </c>
      <c r="D2" s="2">
        <v>-1</v>
      </c>
      <c r="F2" s="4" t="s">
        <v>8</v>
      </c>
      <c r="G2" s="4" t="s">
        <v>8</v>
      </c>
      <c r="H2" s="4">
        <v>1</v>
      </c>
      <c r="I2" s="4" t="s">
        <v>8</v>
      </c>
      <c r="K2" t="e">
        <f>IF(C2=1,D2,NA())</f>
        <v>#N/A</v>
      </c>
      <c r="L2">
        <f>IF(C2=0,D2,NA())</f>
        <v>-1</v>
      </c>
    </row>
    <row r="3" spans="1:12" x14ac:dyDescent="0.35">
      <c r="A3">
        <v>2</v>
      </c>
      <c r="B3" s="3" t="s">
        <v>7</v>
      </c>
      <c r="C3" s="3">
        <v>0</v>
      </c>
      <c r="D3" s="2">
        <v>-4</v>
      </c>
      <c r="F3" s="4" t="s">
        <v>8</v>
      </c>
      <c r="G3" s="4" t="s">
        <v>8</v>
      </c>
      <c r="H3" s="4">
        <v>1</v>
      </c>
      <c r="I3" s="4" t="s">
        <v>8</v>
      </c>
      <c r="K3" t="e">
        <f t="shared" ref="K3:K66" si="0">IF(C3=1,D3,NA())</f>
        <v>#N/A</v>
      </c>
      <c r="L3">
        <f t="shared" ref="L3:L66" si="1">IF(C3=0,D3,NA())</f>
        <v>-4</v>
      </c>
    </row>
    <row r="4" spans="1:12" x14ac:dyDescent="0.35">
      <c r="A4">
        <v>3</v>
      </c>
      <c r="B4" s="3" t="s">
        <v>7</v>
      </c>
      <c r="C4" s="3">
        <v>1</v>
      </c>
      <c r="D4" s="2">
        <v>0</v>
      </c>
      <c r="F4" s="4">
        <v>1</v>
      </c>
      <c r="G4" s="4" t="s">
        <v>8</v>
      </c>
      <c r="H4" s="4" t="s">
        <v>8</v>
      </c>
      <c r="I4" s="4" t="s">
        <v>8</v>
      </c>
      <c r="K4">
        <f t="shared" si="0"/>
        <v>0</v>
      </c>
      <c r="L4" t="e">
        <f t="shared" si="1"/>
        <v>#N/A</v>
      </c>
    </row>
    <row r="5" spans="1:12" x14ac:dyDescent="0.35">
      <c r="A5">
        <v>4</v>
      </c>
      <c r="B5" s="3" t="s">
        <v>9</v>
      </c>
      <c r="C5" s="3">
        <v>1</v>
      </c>
      <c r="D5" s="2">
        <v>-5</v>
      </c>
      <c r="F5" s="4" t="s">
        <v>8</v>
      </c>
      <c r="G5" s="4" t="s">
        <v>8</v>
      </c>
      <c r="H5" s="4" t="s">
        <v>8</v>
      </c>
      <c r="I5" s="4">
        <v>1</v>
      </c>
      <c r="K5">
        <f t="shared" si="0"/>
        <v>-5</v>
      </c>
      <c r="L5" t="e">
        <f t="shared" si="1"/>
        <v>#N/A</v>
      </c>
    </row>
    <row r="6" spans="1:12" x14ac:dyDescent="0.35">
      <c r="A6">
        <v>5</v>
      </c>
      <c r="B6" s="3" t="s">
        <v>7</v>
      </c>
      <c r="C6" s="3">
        <v>1</v>
      </c>
      <c r="D6" s="2">
        <v>0</v>
      </c>
      <c r="F6" s="4">
        <v>1</v>
      </c>
      <c r="G6" s="4" t="s">
        <v>8</v>
      </c>
      <c r="H6" s="4" t="s">
        <v>8</v>
      </c>
      <c r="I6" s="4" t="s">
        <v>8</v>
      </c>
      <c r="K6">
        <f t="shared" si="0"/>
        <v>0</v>
      </c>
      <c r="L6" t="e">
        <f t="shared" si="1"/>
        <v>#N/A</v>
      </c>
    </row>
    <row r="7" spans="1:12" x14ac:dyDescent="0.35">
      <c r="A7">
        <v>6</v>
      </c>
      <c r="B7" s="3" t="s">
        <v>9</v>
      </c>
      <c r="C7" s="3">
        <v>1</v>
      </c>
      <c r="D7" s="2">
        <v>1</v>
      </c>
      <c r="F7" s="4" t="s">
        <v>8</v>
      </c>
      <c r="G7" s="4" t="s">
        <v>8</v>
      </c>
      <c r="H7" s="4" t="s">
        <v>8</v>
      </c>
      <c r="I7" s="4">
        <v>1</v>
      </c>
      <c r="K7">
        <f t="shared" si="0"/>
        <v>1</v>
      </c>
      <c r="L7" t="e">
        <f t="shared" si="1"/>
        <v>#N/A</v>
      </c>
    </row>
    <row r="8" spans="1:12" x14ac:dyDescent="0.35">
      <c r="A8">
        <v>7</v>
      </c>
      <c r="B8" s="3" t="s">
        <v>7</v>
      </c>
      <c r="C8" s="3">
        <v>0</v>
      </c>
      <c r="D8" s="2">
        <v>-4</v>
      </c>
      <c r="F8" s="4" t="s">
        <v>8</v>
      </c>
      <c r="G8" s="4" t="s">
        <v>8</v>
      </c>
      <c r="H8" s="4">
        <v>1</v>
      </c>
      <c r="I8" s="4" t="s">
        <v>8</v>
      </c>
      <c r="K8" t="e">
        <f t="shared" si="0"/>
        <v>#N/A</v>
      </c>
      <c r="L8">
        <f t="shared" si="1"/>
        <v>-4</v>
      </c>
    </row>
    <row r="9" spans="1:12" x14ac:dyDescent="0.35">
      <c r="A9">
        <v>8</v>
      </c>
      <c r="B9" s="3" t="s">
        <v>9</v>
      </c>
      <c r="C9" s="3">
        <v>1</v>
      </c>
      <c r="D9" s="2">
        <v>3</v>
      </c>
      <c r="F9" s="4" t="s">
        <v>8</v>
      </c>
      <c r="G9" s="4" t="s">
        <v>8</v>
      </c>
      <c r="H9" s="4" t="s">
        <v>8</v>
      </c>
      <c r="I9" s="4">
        <v>1</v>
      </c>
      <c r="K9">
        <f t="shared" si="0"/>
        <v>3</v>
      </c>
      <c r="L9" t="e">
        <f t="shared" si="1"/>
        <v>#N/A</v>
      </c>
    </row>
    <row r="10" spans="1:12" x14ac:dyDescent="0.35">
      <c r="A10">
        <v>9</v>
      </c>
      <c r="B10" s="3" t="s">
        <v>7</v>
      </c>
      <c r="C10" s="3">
        <v>0</v>
      </c>
      <c r="D10" s="2">
        <v>0</v>
      </c>
      <c r="F10" s="4">
        <v>1</v>
      </c>
      <c r="G10" s="4" t="s">
        <v>8</v>
      </c>
      <c r="H10" s="4" t="s">
        <v>8</v>
      </c>
      <c r="I10" s="4" t="s">
        <v>8</v>
      </c>
      <c r="K10" t="e">
        <f t="shared" si="0"/>
        <v>#N/A</v>
      </c>
      <c r="L10">
        <f t="shared" si="1"/>
        <v>0</v>
      </c>
    </row>
    <row r="11" spans="1:12" x14ac:dyDescent="0.35">
      <c r="A11">
        <v>10</v>
      </c>
      <c r="B11" s="3" t="s">
        <v>7</v>
      </c>
      <c r="C11" s="3">
        <v>1</v>
      </c>
      <c r="D11" s="2">
        <v>0</v>
      </c>
      <c r="F11" s="4">
        <v>1</v>
      </c>
      <c r="G11" s="4" t="s">
        <v>8</v>
      </c>
      <c r="H11" s="4" t="s">
        <v>8</v>
      </c>
      <c r="I11" s="4" t="s">
        <v>8</v>
      </c>
      <c r="K11">
        <f t="shared" si="0"/>
        <v>0</v>
      </c>
      <c r="L11" t="e">
        <f t="shared" si="1"/>
        <v>#N/A</v>
      </c>
    </row>
    <row r="12" spans="1:12" x14ac:dyDescent="0.35">
      <c r="A12">
        <v>11</v>
      </c>
      <c r="B12" s="3" t="s">
        <v>9</v>
      </c>
      <c r="C12" s="3">
        <v>0</v>
      </c>
      <c r="D12" s="2">
        <v>0</v>
      </c>
      <c r="F12" s="4" t="s">
        <v>8</v>
      </c>
      <c r="G12" s="4">
        <v>1</v>
      </c>
      <c r="H12" s="4" t="s">
        <v>8</v>
      </c>
      <c r="I12" s="4" t="s">
        <v>8</v>
      </c>
      <c r="K12" t="e">
        <f t="shared" si="0"/>
        <v>#N/A</v>
      </c>
      <c r="L12">
        <f t="shared" si="1"/>
        <v>0</v>
      </c>
    </row>
    <row r="13" spans="1:12" x14ac:dyDescent="0.35">
      <c r="A13">
        <v>12</v>
      </c>
      <c r="B13" s="3" t="s">
        <v>9</v>
      </c>
      <c r="C13" s="3">
        <v>1</v>
      </c>
      <c r="D13" s="2">
        <v>-4</v>
      </c>
      <c r="F13" s="4" t="s">
        <v>8</v>
      </c>
      <c r="G13" s="4" t="s">
        <v>8</v>
      </c>
      <c r="H13" s="4" t="s">
        <v>8</v>
      </c>
      <c r="I13" s="4">
        <v>1</v>
      </c>
      <c r="K13">
        <f t="shared" si="0"/>
        <v>-4</v>
      </c>
      <c r="L13" t="e">
        <f t="shared" si="1"/>
        <v>#N/A</v>
      </c>
    </row>
    <row r="14" spans="1:12" x14ac:dyDescent="0.35">
      <c r="A14">
        <v>13</v>
      </c>
      <c r="B14" s="3" t="s">
        <v>9</v>
      </c>
      <c r="C14" s="3">
        <v>0</v>
      </c>
      <c r="D14" s="2">
        <v>0</v>
      </c>
      <c r="F14" s="4" t="s">
        <v>8</v>
      </c>
      <c r="G14" s="4">
        <v>1</v>
      </c>
      <c r="H14" s="4" t="s">
        <v>8</v>
      </c>
      <c r="I14" s="4" t="s">
        <v>8</v>
      </c>
      <c r="K14" t="e">
        <f t="shared" si="0"/>
        <v>#N/A</v>
      </c>
      <c r="L14">
        <f t="shared" si="1"/>
        <v>0</v>
      </c>
    </row>
    <row r="15" spans="1:12" x14ac:dyDescent="0.35">
      <c r="A15">
        <v>14</v>
      </c>
      <c r="B15" s="3" t="s">
        <v>9</v>
      </c>
      <c r="C15" s="3">
        <v>1</v>
      </c>
      <c r="D15" s="2">
        <v>-4</v>
      </c>
      <c r="F15" s="4" t="s">
        <v>8</v>
      </c>
      <c r="G15" s="4" t="s">
        <v>8</v>
      </c>
      <c r="H15" s="4" t="s">
        <v>8</v>
      </c>
      <c r="I15" s="4">
        <v>1</v>
      </c>
      <c r="K15">
        <f t="shared" si="0"/>
        <v>-4</v>
      </c>
      <c r="L15" t="e">
        <f t="shared" si="1"/>
        <v>#N/A</v>
      </c>
    </row>
    <row r="16" spans="1:12" x14ac:dyDescent="0.35">
      <c r="A16">
        <v>15</v>
      </c>
      <c r="B16" s="3" t="s">
        <v>9</v>
      </c>
      <c r="C16" s="3">
        <v>1</v>
      </c>
      <c r="D16" s="2">
        <v>2</v>
      </c>
      <c r="F16" s="4" t="s">
        <v>8</v>
      </c>
      <c r="G16" s="4" t="s">
        <v>8</v>
      </c>
      <c r="H16" s="4" t="s">
        <v>8</v>
      </c>
      <c r="I16" s="4">
        <v>1</v>
      </c>
      <c r="K16">
        <f t="shared" si="0"/>
        <v>2</v>
      </c>
      <c r="L16" t="e">
        <f t="shared" si="1"/>
        <v>#N/A</v>
      </c>
    </row>
    <row r="17" spans="1:12" x14ac:dyDescent="0.35">
      <c r="A17">
        <v>16</v>
      </c>
      <c r="B17" s="3" t="s">
        <v>7</v>
      </c>
      <c r="C17" s="3">
        <v>1</v>
      </c>
      <c r="D17" s="2">
        <v>0</v>
      </c>
      <c r="F17" s="4">
        <v>1</v>
      </c>
      <c r="G17" s="4" t="s">
        <v>8</v>
      </c>
      <c r="H17" s="4" t="s">
        <v>8</v>
      </c>
      <c r="I17" s="4" t="s">
        <v>8</v>
      </c>
      <c r="K17">
        <f t="shared" si="0"/>
        <v>0</v>
      </c>
      <c r="L17" t="e">
        <f t="shared" si="1"/>
        <v>#N/A</v>
      </c>
    </row>
    <row r="18" spans="1:12" x14ac:dyDescent="0.35">
      <c r="A18">
        <v>17</v>
      </c>
      <c r="B18" s="3" t="s">
        <v>9</v>
      </c>
      <c r="C18" s="3">
        <v>1</v>
      </c>
      <c r="D18" s="2">
        <v>0</v>
      </c>
      <c r="F18" s="4" t="s">
        <v>8</v>
      </c>
      <c r="G18" s="4">
        <v>1</v>
      </c>
      <c r="H18" s="4" t="s">
        <v>8</v>
      </c>
      <c r="I18" s="4" t="s">
        <v>8</v>
      </c>
      <c r="K18">
        <f t="shared" si="0"/>
        <v>0</v>
      </c>
      <c r="L18" t="e">
        <f t="shared" si="1"/>
        <v>#N/A</v>
      </c>
    </row>
    <row r="19" spans="1:12" x14ac:dyDescent="0.35">
      <c r="A19">
        <v>18</v>
      </c>
      <c r="B19" s="3" t="s">
        <v>7</v>
      </c>
      <c r="C19" s="3">
        <v>1</v>
      </c>
      <c r="D19" s="2">
        <v>0</v>
      </c>
      <c r="F19" s="4">
        <v>1</v>
      </c>
      <c r="G19" s="4" t="s">
        <v>8</v>
      </c>
      <c r="H19" s="4" t="s">
        <v>8</v>
      </c>
      <c r="I19" s="4" t="s">
        <v>8</v>
      </c>
      <c r="K19">
        <f t="shared" si="0"/>
        <v>0</v>
      </c>
      <c r="L19" t="e">
        <f t="shared" si="1"/>
        <v>#N/A</v>
      </c>
    </row>
    <row r="20" spans="1:12" x14ac:dyDescent="0.35">
      <c r="A20">
        <v>19</v>
      </c>
      <c r="B20" s="3" t="s">
        <v>9</v>
      </c>
      <c r="C20" s="3">
        <v>1</v>
      </c>
      <c r="D20" s="2">
        <v>4</v>
      </c>
      <c r="F20" s="4" t="s">
        <v>8</v>
      </c>
      <c r="G20" s="4" t="s">
        <v>8</v>
      </c>
      <c r="H20" s="4" t="s">
        <v>8</v>
      </c>
      <c r="I20" s="4">
        <v>1</v>
      </c>
      <c r="K20">
        <f t="shared" si="0"/>
        <v>4</v>
      </c>
      <c r="L20" t="e">
        <f t="shared" si="1"/>
        <v>#N/A</v>
      </c>
    </row>
    <row r="21" spans="1:12" x14ac:dyDescent="0.35">
      <c r="A21">
        <v>20</v>
      </c>
      <c r="B21" s="3" t="s">
        <v>9</v>
      </c>
      <c r="C21" s="3">
        <v>1</v>
      </c>
      <c r="D21" s="2">
        <v>-3</v>
      </c>
      <c r="F21" s="4" t="s">
        <v>8</v>
      </c>
      <c r="G21" s="4" t="s">
        <v>8</v>
      </c>
      <c r="H21" s="4" t="s">
        <v>8</v>
      </c>
      <c r="I21" s="4">
        <v>1</v>
      </c>
      <c r="K21">
        <f t="shared" si="0"/>
        <v>-3</v>
      </c>
      <c r="L21" t="e">
        <f t="shared" si="1"/>
        <v>#N/A</v>
      </c>
    </row>
    <row r="22" spans="1:12" x14ac:dyDescent="0.35">
      <c r="A22">
        <v>21</v>
      </c>
      <c r="B22" s="3" t="s">
        <v>9</v>
      </c>
      <c r="C22" s="3">
        <v>1</v>
      </c>
      <c r="D22" s="2">
        <v>-5</v>
      </c>
      <c r="F22" s="4" t="s">
        <v>8</v>
      </c>
      <c r="G22" s="4" t="s">
        <v>8</v>
      </c>
      <c r="H22" s="4" t="s">
        <v>8</v>
      </c>
      <c r="I22" s="4">
        <v>1</v>
      </c>
      <c r="K22">
        <f t="shared" si="0"/>
        <v>-5</v>
      </c>
      <c r="L22" t="e">
        <f t="shared" si="1"/>
        <v>#N/A</v>
      </c>
    </row>
    <row r="23" spans="1:12" x14ac:dyDescent="0.35">
      <c r="A23">
        <v>22</v>
      </c>
      <c r="B23" s="3" t="s">
        <v>7</v>
      </c>
      <c r="C23" s="3">
        <v>1</v>
      </c>
      <c r="D23" s="2">
        <v>0</v>
      </c>
      <c r="F23" s="4">
        <v>1</v>
      </c>
      <c r="G23" s="4" t="s">
        <v>8</v>
      </c>
      <c r="H23" s="4" t="s">
        <v>8</v>
      </c>
      <c r="I23" s="4" t="s">
        <v>8</v>
      </c>
      <c r="K23">
        <f t="shared" si="0"/>
        <v>0</v>
      </c>
      <c r="L23" t="e">
        <f t="shared" si="1"/>
        <v>#N/A</v>
      </c>
    </row>
    <row r="24" spans="1:12" x14ac:dyDescent="0.35">
      <c r="A24">
        <v>23</v>
      </c>
      <c r="B24" s="3" t="s">
        <v>7</v>
      </c>
      <c r="C24" s="3">
        <v>1</v>
      </c>
      <c r="D24" s="2">
        <v>0</v>
      </c>
      <c r="F24" s="4">
        <v>1</v>
      </c>
      <c r="G24" s="4" t="s">
        <v>8</v>
      </c>
      <c r="H24" s="4" t="s">
        <v>8</v>
      </c>
      <c r="I24" s="4" t="s">
        <v>8</v>
      </c>
      <c r="K24">
        <f t="shared" si="0"/>
        <v>0</v>
      </c>
      <c r="L24" t="e">
        <f t="shared" si="1"/>
        <v>#N/A</v>
      </c>
    </row>
    <row r="25" spans="1:12" x14ac:dyDescent="0.35">
      <c r="A25">
        <v>24</v>
      </c>
      <c r="B25" s="3" t="s">
        <v>9</v>
      </c>
      <c r="C25" s="3">
        <v>1</v>
      </c>
      <c r="D25" s="2">
        <v>4</v>
      </c>
      <c r="F25" s="4" t="s">
        <v>8</v>
      </c>
      <c r="G25" s="4" t="s">
        <v>8</v>
      </c>
      <c r="H25" s="4" t="s">
        <v>8</v>
      </c>
      <c r="I25" s="4">
        <v>1</v>
      </c>
      <c r="K25">
        <f t="shared" si="0"/>
        <v>4</v>
      </c>
      <c r="L25" t="e">
        <f t="shared" si="1"/>
        <v>#N/A</v>
      </c>
    </row>
    <row r="26" spans="1:12" x14ac:dyDescent="0.35">
      <c r="A26">
        <v>25</v>
      </c>
      <c r="B26" s="3" t="s">
        <v>9</v>
      </c>
      <c r="C26" s="3">
        <v>0</v>
      </c>
      <c r="D26" s="2">
        <v>0</v>
      </c>
      <c r="F26" s="4" t="s">
        <v>8</v>
      </c>
      <c r="G26" s="4">
        <v>1</v>
      </c>
      <c r="H26" s="4" t="s">
        <v>8</v>
      </c>
      <c r="I26" s="4" t="s">
        <v>8</v>
      </c>
      <c r="K26" t="e">
        <f t="shared" si="0"/>
        <v>#N/A</v>
      </c>
      <c r="L26">
        <f t="shared" si="1"/>
        <v>0</v>
      </c>
    </row>
    <row r="27" spans="1:12" x14ac:dyDescent="0.35">
      <c r="A27">
        <v>26</v>
      </c>
      <c r="B27" s="3" t="s">
        <v>7</v>
      </c>
      <c r="C27" s="3">
        <v>0</v>
      </c>
      <c r="D27" s="2">
        <v>0</v>
      </c>
      <c r="F27" s="4">
        <v>1</v>
      </c>
      <c r="G27" s="4" t="s">
        <v>8</v>
      </c>
      <c r="H27" s="4" t="s">
        <v>8</v>
      </c>
      <c r="I27" s="4" t="s">
        <v>8</v>
      </c>
      <c r="K27" t="e">
        <f t="shared" si="0"/>
        <v>#N/A</v>
      </c>
      <c r="L27">
        <f t="shared" si="1"/>
        <v>0</v>
      </c>
    </row>
    <row r="28" spans="1:12" x14ac:dyDescent="0.35">
      <c r="A28">
        <v>27</v>
      </c>
      <c r="B28" s="3" t="s">
        <v>9</v>
      </c>
      <c r="C28" s="3">
        <v>1</v>
      </c>
      <c r="D28" s="2">
        <v>3</v>
      </c>
      <c r="F28" s="4" t="s">
        <v>8</v>
      </c>
      <c r="G28" s="4" t="s">
        <v>8</v>
      </c>
      <c r="H28" s="4" t="s">
        <v>8</v>
      </c>
      <c r="I28" s="4">
        <v>1</v>
      </c>
      <c r="K28">
        <f t="shared" si="0"/>
        <v>3</v>
      </c>
      <c r="L28" t="e">
        <f t="shared" si="1"/>
        <v>#N/A</v>
      </c>
    </row>
    <row r="29" spans="1:12" x14ac:dyDescent="0.35">
      <c r="A29">
        <v>28</v>
      </c>
      <c r="B29" s="3" t="s">
        <v>7</v>
      </c>
      <c r="C29" s="3">
        <v>1</v>
      </c>
      <c r="D29" s="2">
        <v>0</v>
      </c>
      <c r="F29" s="4">
        <v>1</v>
      </c>
      <c r="G29" s="4" t="s">
        <v>8</v>
      </c>
      <c r="H29" s="4" t="s">
        <v>8</v>
      </c>
      <c r="I29" s="4" t="s">
        <v>8</v>
      </c>
      <c r="K29">
        <f t="shared" si="0"/>
        <v>0</v>
      </c>
      <c r="L29" t="e">
        <f t="shared" si="1"/>
        <v>#N/A</v>
      </c>
    </row>
    <row r="30" spans="1:12" x14ac:dyDescent="0.35">
      <c r="A30">
        <v>29</v>
      </c>
      <c r="B30" s="3" t="s">
        <v>7</v>
      </c>
      <c r="C30" s="3">
        <v>0</v>
      </c>
      <c r="D30" s="2">
        <v>1</v>
      </c>
      <c r="F30" s="4" t="s">
        <v>8</v>
      </c>
      <c r="G30" s="4" t="s">
        <v>8</v>
      </c>
      <c r="H30" s="4">
        <v>1</v>
      </c>
      <c r="I30" s="4" t="s">
        <v>8</v>
      </c>
      <c r="K30" t="e">
        <f t="shared" si="0"/>
        <v>#N/A</v>
      </c>
      <c r="L30">
        <f t="shared" si="1"/>
        <v>1</v>
      </c>
    </row>
    <row r="31" spans="1:12" x14ac:dyDescent="0.35">
      <c r="A31">
        <v>30</v>
      </c>
      <c r="B31" s="3" t="s">
        <v>7</v>
      </c>
      <c r="C31" s="3">
        <v>1</v>
      </c>
      <c r="D31" s="2">
        <v>0</v>
      </c>
      <c r="F31" s="4">
        <v>1</v>
      </c>
      <c r="G31" s="4" t="s">
        <v>8</v>
      </c>
      <c r="H31" s="4" t="s">
        <v>8</v>
      </c>
      <c r="I31" s="4" t="s">
        <v>8</v>
      </c>
      <c r="K31">
        <f t="shared" si="0"/>
        <v>0</v>
      </c>
      <c r="L31" t="e">
        <f t="shared" si="1"/>
        <v>#N/A</v>
      </c>
    </row>
    <row r="32" spans="1:12" x14ac:dyDescent="0.35">
      <c r="A32">
        <v>31</v>
      </c>
      <c r="B32" s="3" t="s">
        <v>9</v>
      </c>
      <c r="C32" s="3">
        <v>0</v>
      </c>
      <c r="D32" s="2">
        <v>0</v>
      </c>
      <c r="F32" s="4" t="s">
        <v>8</v>
      </c>
      <c r="G32" s="4">
        <v>1</v>
      </c>
      <c r="H32" s="4" t="s">
        <v>8</v>
      </c>
      <c r="I32" s="4" t="s">
        <v>8</v>
      </c>
      <c r="K32" t="e">
        <f t="shared" si="0"/>
        <v>#N/A</v>
      </c>
      <c r="L32">
        <f t="shared" si="1"/>
        <v>0</v>
      </c>
    </row>
    <row r="33" spans="1:12" x14ac:dyDescent="0.35">
      <c r="A33">
        <v>32</v>
      </c>
      <c r="B33" s="3" t="s">
        <v>7</v>
      </c>
      <c r="C33" s="3">
        <v>0</v>
      </c>
      <c r="D33" s="2">
        <v>2</v>
      </c>
      <c r="F33" s="4" t="s">
        <v>8</v>
      </c>
      <c r="G33" s="4" t="s">
        <v>8</v>
      </c>
      <c r="H33" s="4">
        <v>1</v>
      </c>
      <c r="I33" s="4" t="s">
        <v>8</v>
      </c>
      <c r="K33" t="e">
        <f t="shared" si="0"/>
        <v>#N/A</v>
      </c>
      <c r="L33">
        <f t="shared" si="1"/>
        <v>2</v>
      </c>
    </row>
    <row r="34" spans="1:12" x14ac:dyDescent="0.35">
      <c r="A34">
        <v>33</v>
      </c>
      <c r="B34" s="3" t="s">
        <v>7</v>
      </c>
      <c r="C34" s="3">
        <v>0</v>
      </c>
      <c r="D34" s="2">
        <v>0</v>
      </c>
      <c r="F34" s="4">
        <v>1</v>
      </c>
      <c r="G34" s="4" t="s">
        <v>8</v>
      </c>
      <c r="H34" s="4" t="s">
        <v>8</v>
      </c>
      <c r="I34" s="4" t="s">
        <v>8</v>
      </c>
      <c r="K34" t="e">
        <f t="shared" si="0"/>
        <v>#N/A</v>
      </c>
      <c r="L34">
        <f t="shared" si="1"/>
        <v>0</v>
      </c>
    </row>
    <row r="35" spans="1:12" x14ac:dyDescent="0.35">
      <c r="A35">
        <v>34</v>
      </c>
      <c r="B35" s="3" t="s">
        <v>7</v>
      </c>
      <c r="C35" s="3">
        <v>0</v>
      </c>
      <c r="D35" s="2">
        <v>0</v>
      </c>
      <c r="F35" s="4">
        <v>1</v>
      </c>
      <c r="G35" s="4" t="s">
        <v>8</v>
      </c>
      <c r="H35" s="4" t="s">
        <v>8</v>
      </c>
      <c r="I35" s="4" t="s">
        <v>8</v>
      </c>
      <c r="K35" t="e">
        <f t="shared" si="0"/>
        <v>#N/A</v>
      </c>
      <c r="L35">
        <f t="shared" si="1"/>
        <v>0</v>
      </c>
    </row>
    <row r="36" spans="1:12" x14ac:dyDescent="0.35">
      <c r="A36">
        <v>35</v>
      </c>
      <c r="B36" s="3" t="s">
        <v>7</v>
      </c>
      <c r="C36" s="3">
        <v>0</v>
      </c>
      <c r="D36" s="2">
        <v>0</v>
      </c>
      <c r="F36" s="4">
        <v>1</v>
      </c>
      <c r="G36" s="4" t="s">
        <v>8</v>
      </c>
      <c r="H36" s="4" t="s">
        <v>8</v>
      </c>
      <c r="I36" s="4" t="s">
        <v>8</v>
      </c>
      <c r="K36" t="e">
        <f t="shared" si="0"/>
        <v>#N/A</v>
      </c>
      <c r="L36">
        <f t="shared" si="1"/>
        <v>0</v>
      </c>
    </row>
    <row r="37" spans="1:12" x14ac:dyDescent="0.35">
      <c r="A37">
        <v>36</v>
      </c>
      <c r="B37" s="3" t="s">
        <v>7</v>
      </c>
      <c r="C37" s="3">
        <v>1</v>
      </c>
      <c r="D37" s="2">
        <v>0</v>
      </c>
      <c r="F37" s="4">
        <v>1</v>
      </c>
      <c r="G37" s="4" t="s">
        <v>8</v>
      </c>
      <c r="H37" s="4" t="s">
        <v>8</v>
      </c>
      <c r="I37" s="4" t="s">
        <v>8</v>
      </c>
      <c r="K37">
        <f t="shared" si="0"/>
        <v>0</v>
      </c>
      <c r="L37" t="e">
        <f t="shared" si="1"/>
        <v>#N/A</v>
      </c>
    </row>
    <row r="38" spans="1:12" x14ac:dyDescent="0.35">
      <c r="A38">
        <v>37</v>
      </c>
      <c r="B38" s="3" t="s">
        <v>7</v>
      </c>
      <c r="C38" s="3">
        <v>1</v>
      </c>
      <c r="D38" s="2">
        <v>0</v>
      </c>
      <c r="F38" s="4">
        <v>1</v>
      </c>
      <c r="G38" s="4" t="s">
        <v>8</v>
      </c>
      <c r="H38" s="4" t="s">
        <v>8</v>
      </c>
      <c r="I38" s="4" t="s">
        <v>8</v>
      </c>
      <c r="K38">
        <f t="shared" si="0"/>
        <v>0</v>
      </c>
      <c r="L38" t="e">
        <f t="shared" si="1"/>
        <v>#N/A</v>
      </c>
    </row>
    <row r="39" spans="1:12" x14ac:dyDescent="0.35">
      <c r="A39">
        <v>38</v>
      </c>
      <c r="B39" s="3" t="s">
        <v>7</v>
      </c>
      <c r="C39" s="3">
        <v>1</v>
      </c>
      <c r="D39" s="2">
        <v>0</v>
      </c>
      <c r="F39" s="4">
        <v>1</v>
      </c>
      <c r="G39" s="4" t="s">
        <v>8</v>
      </c>
      <c r="H39" s="4" t="s">
        <v>8</v>
      </c>
      <c r="I39" s="4" t="s">
        <v>8</v>
      </c>
      <c r="K39">
        <f t="shared" si="0"/>
        <v>0</v>
      </c>
      <c r="L39" t="e">
        <f t="shared" si="1"/>
        <v>#N/A</v>
      </c>
    </row>
    <row r="40" spans="1:12" x14ac:dyDescent="0.35">
      <c r="A40">
        <v>39</v>
      </c>
      <c r="B40" s="3" t="s">
        <v>7</v>
      </c>
      <c r="C40" s="3">
        <v>0</v>
      </c>
      <c r="D40" s="2">
        <v>-1</v>
      </c>
      <c r="F40" s="4" t="s">
        <v>8</v>
      </c>
      <c r="G40" s="4" t="s">
        <v>8</v>
      </c>
      <c r="H40" s="4">
        <v>1</v>
      </c>
      <c r="I40" s="4" t="s">
        <v>8</v>
      </c>
      <c r="K40" t="e">
        <f t="shared" si="0"/>
        <v>#N/A</v>
      </c>
      <c r="L40">
        <f t="shared" si="1"/>
        <v>-1</v>
      </c>
    </row>
    <row r="41" spans="1:12" x14ac:dyDescent="0.35">
      <c r="A41">
        <v>40</v>
      </c>
      <c r="B41" s="3" t="s">
        <v>9</v>
      </c>
      <c r="C41" s="3">
        <v>0</v>
      </c>
      <c r="D41" s="2">
        <v>0</v>
      </c>
      <c r="F41" s="4" t="s">
        <v>8</v>
      </c>
      <c r="G41" s="4">
        <v>1</v>
      </c>
      <c r="H41" s="4" t="s">
        <v>8</v>
      </c>
      <c r="I41" s="4" t="s">
        <v>8</v>
      </c>
      <c r="K41" t="e">
        <f t="shared" si="0"/>
        <v>#N/A</v>
      </c>
      <c r="L41">
        <f t="shared" si="1"/>
        <v>0</v>
      </c>
    </row>
    <row r="42" spans="1:12" x14ac:dyDescent="0.35">
      <c r="A42">
        <v>41</v>
      </c>
      <c r="B42" s="3" t="s">
        <v>7</v>
      </c>
      <c r="C42" s="3">
        <v>1</v>
      </c>
      <c r="D42" s="2">
        <v>0</v>
      </c>
      <c r="F42" s="4">
        <v>1</v>
      </c>
      <c r="G42" s="4" t="s">
        <v>8</v>
      </c>
      <c r="H42" s="4" t="s">
        <v>8</v>
      </c>
      <c r="I42" s="4" t="s">
        <v>8</v>
      </c>
      <c r="K42">
        <f t="shared" si="0"/>
        <v>0</v>
      </c>
      <c r="L42" t="e">
        <f t="shared" si="1"/>
        <v>#N/A</v>
      </c>
    </row>
    <row r="43" spans="1:12" x14ac:dyDescent="0.35">
      <c r="A43">
        <v>42</v>
      </c>
      <c r="B43" s="3" t="s">
        <v>7</v>
      </c>
      <c r="C43" s="3">
        <v>1</v>
      </c>
      <c r="D43" s="2">
        <v>0</v>
      </c>
      <c r="F43" s="4">
        <v>1</v>
      </c>
      <c r="G43" s="4" t="s">
        <v>8</v>
      </c>
      <c r="H43" s="4" t="s">
        <v>8</v>
      </c>
      <c r="I43" s="4" t="s">
        <v>8</v>
      </c>
      <c r="K43">
        <f t="shared" si="0"/>
        <v>0</v>
      </c>
      <c r="L43" t="e">
        <f t="shared" si="1"/>
        <v>#N/A</v>
      </c>
    </row>
    <row r="44" spans="1:12" x14ac:dyDescent="0.35">
      <c r="A44">
        <v>43</v>
      </c>
      <c r="B44" s="3" t="s">
        <v>9</v>
      </c>
      <c r="C44" s="3">
        <v>0</v>
      </c>
      <c r="D44" s="2">
        <v>0</v>
      </c>
      <c r="F44" s="4" t="s">
        <v>8</v>
      </c>
      <c r="G44" s="4">
        <v>1</v>
      </c>
      <c r="H44" s="4" t="s">
        <v>8</v>
      </c>
      <c r="I44" s="4" t="s">
        <v>8</v>
      </c>
      <c r="K44" t="e">
        <f t="shared" si="0"/>
        <v>#N/A</v>
      </c>
      <c r="L44">
        <f t="shared" si="1"/>
        <v>0</v>
      </c>
    </row>
    <row r="45" spans="1:12" x14ac:dyDescent="0.35">
      <c r="A45">
        <v>44</v>
      </c>
      <c r="B45" s="3" t="s">
        <v>7</v>
      </c>
      <c r="C45" s="3">
        <v>0</v>
      </c>
      <c r="D45" s="2">
        <v>1</v>
      </c>
      <c r="F45" s="4" t="s">
        <v>8</v>
      </c>
      <c r="G45" s="4" t="s">
        <v>8</v>
      </c>
      <c r="H45" s="4">
        <v>1</v>
      </c>
      <c r="I45" s="4" t="s">
        <v>8</v>
      </c>
      <c r="K45" t="e">
        <f t="shared" si="0"/>
        <v>#N/A</v>
      </c>
      <c r="L45">
        <f t="shared" si="1"/>
        <v>1</v>
      </c>
    </row>
    <row r="46" spans="1:12" x14ac:dyDescent="0.35">
      <c r="A46">
        <v>45</v>
      </c>
      <c r="B46" s="3" t="s">
        <v>9</v>
      </c>
      <c r="C46" s="3">
        <v>0</v>
      </c>
      <c r="D46" s="2">
        <v>0</v>
      </c>
      <c r="F46" s="4" t="s">
        <v>8</v>
      </c>
      <c r="G46" s="4">
        <v>1</v>
      </c>
      <c r="H46" s="4" t="s">
        <v>8</v>
      </c>
      <c r="I46" s="4" t="s">
        <v>8</v>
      </c>
      <c r="K46" t="e">
        <f t="shared" si="0"/>
        <v>#N/A</v>
      </c>
      <c r="L46">
        <f t="shared" si="1"/>
        <v>0</v>
      </c>
    </row>
    <row r="47" spans="1:12" x14ac:dyDescent="0.35">
      <c r="A47">
        <v>46</v>
      </c>
      <c r="B47" s="3" t="s">
        <v>7</v>
      </c>
      <c r="C47" s="3">
        <v>1</v>
      </c>
      <c r="D47" s="2">
        <v>0</v>
      </c>
      <c r="F47" s="4">
        <v>1</v>
      </c>
      <c r="G47" s="4" t="s">
        <v>8</v>
      </c>
      <c r="H47" s="4" t="s">
        <v>8</v>
      </c>
      <c r="I47" s="4" t="s">
        <v>8</v>
      </c>
      <c r="K47">
        <f t="shared" si="0"/>
        <v>0</v>
      </c>
      <c r="L47" t="e">
        <f t="shared" si="1"/>
        <v>#N/A</v>
      </c>
    </row>
    <row r="48" spans="1:12" x14ac:dyDescent="0.35">
      <c r="A48">
        <v>47</v>
      </c>
      <c r="B48" s="3" t="s">
        <v>7</v>
      </c>
      <c r="C48" s="3">
        <v>0</v>
      </c>
      <c r="D48" s="2">
        <v>4</v>
      </c>
      <c r="F48" s="4" t="s">
        <v>8</v>
      </c>
      <c r="G48" s="4" t="s">
        <v>8</v>
      </c>
      <c r="H48" s="4">
        <v>1</v>
      </c>
      <c r="I48" s="4" t="s">
        <v>8</v>
      </c>
      <c r="K48" t="e">
        <f t="shared" si="0"/>
        <v>#N/A</v>
      </c>
      <c r="L48">
        <f t="shared" si="1"/>
        <v>4</v>
      </c>
    </row>
    <row r="49" spans="1:12" x14ac:dyDescent="0.35">
      <c r="A49">
        <v>48</v>
      </c>
      <c r="B49" s="3" t="s">
        <v>9</v>
      </c>
      <c r="C49" s="3">
        <v>1</v>
      </c>
      <c r="D49" s="2">
        <v>-3</v>
      </c>
      <c r="F49" s="4" t="s">
        <v>8</v>
      </c>
      <c r="G49" s="4" t="s">
        <v>8</v>
      </c>
      <c r="H49" s="4" t="s">
        <v>8</v>
      </c>
      <c r="I49" s="4">
        <v>1</v>
      </c>
      <c r="K49">
        <f t="shared" si="0"/>
        <v>-3</v>
      </c>
      <c r="L49" t="e">
        <f t="shared" si="1"/>
        <v>#N/A</v>
      </c>
    </row>
    <row r="50" spans="1:12" x14ac:dyDescent="0.35">
      <c r="A50">
        <v>49</v>
      </c>
      <c r="B50" s="3" t="s">
        <v>9</v>
      </c>
      <c r="C50" s="3">
        <v>1</v>
      </c>
      <c r="D50" s="2">
        <v>-2</v>
      </c>
      <c r="F50" s="4" t="s">
        <v>8</v>
      </c>
      <c r="G50" s="4" t="s">
        <v>8</v>
      </c>
      <c r="H50" s="4" t="s">
        <v>8</v>
      </c>
      <c r="I50" s="4">
        <v>1</v>
      </c>
      <c r="K50">
        <f t="shared" si="0"/>
        <v>-2</v>
      </c>
      <c r="L50" t="e">
        <f t="shared" si="1"/>
        <v>#N/A</v>
      </c>
    </row>
    <row r="51" spans="1:12" x14ac:dyDescent="0.35">
      <c r="A51">
        <v>50</v>
      </c>
      <c r="B51" s="3" t="s">
        <v>7</v>
      </c>
      <c r="C51" s="3">
        <v>1</v>
      </c>
      <c r="D51" s="2">
        <v>0</v>
      </c>
      <c r="F51" s="4">
        <v>1</v>
      </c>
      <c r="G51" s="4" t="s">
        <v>8</v>
      </c>
      <c r="H51" s="4" t="s">
        <v>8</v>
      </c>
      <c r="I51" s="4" t="s">
        <v>8</v>
      </c>
      <c r="K51">
        <f t="shared" si="0"/>
        <v>0</v>
      </c>
      <c r="L51" t="e">
        <f t="shared" si="1"/>
        <v>#N/A</v>
      </c>
    </row>
    <row r="52" spans="1:12" x14ac:dyDescent="0.35">
      <c r="A52">
        <v>51</v>
      </c>
      <c r="B52" s="3" t="s">
        <v>7</v>
      </c>
      <c r="C52" s="3">
        <v>0</v>
      </c>
      <c r="D52" s="2">
        <v>0</v>
      </c>
      <c r="F52" s="4">
        <v>1</v>
      </c>
      <c r="G52" s="4" t="s">
        <v>8</v>
      </c>
      <c r="H52" s="4" t="s">
        <v>8</v>
      </c>
      <c r="I52" s="4" t="s">
        <v>8</v>
      </c>
      <c r="K52" t="e">
        <f t="shared" si="0"/>
        <v>#N/A</v>
      </c>
      <c r="L52">
        <f t="shared" si="1"/>
        <v>0</v>
      </c>
    </row>
    <row r="53" spans="1:12" x14ac:dyDescent="0.35">
      <c r="A53">
        <v>52</v>
      </c>
      <c r="B53" s="3" t="s">
        <v>7</v>
      </c>
      <c r="C53" s="3">
        <v>0</v>
      </c>
      <c r="D53" s="2">
        <v>0</v>
      </c>
      <c r="F53" s="4">
        <v>1</v>
      </c>
      <c r="G53" s="4" t="s">
        <v>8</v>
      </c>
      <c r="H53" s="4" t="s">
        <v>8</v>
      </c>
      <c r="I53" s="4" t="s">
        <v>8</v>
      </c>
      <c r="K53" t="e">
        <f t="shared" si="0"/>
        <v>#N/A</v>
      </c>
      <c r="L53">
        <f t="shared" si="1"/>
        <v>0</v>
      </c>
    </row>
    <row r="54" spans="1:12" x14ac:dyDescent="0.35">
      <c r="A54">
        <v>53</v>
      </c>
      <c r="B54" s="3" t="s">
        <v>9</v>
      </c>
      <c r="C54" s="3">
        <v>1</v>
      </c>
      <c r="D54" s="2">
        <v>-2</v>
      </c>
      <c r="F54" s="4" t="s">
        <v>8</v>
      </c>
      <c r="G54" s="4" t="s">
        <v>8</v>
      </c>
      <c r="H54" s="4" t="s">
        <v>8</v>
      </c>
      <c r="I54" s="4">
        <v>1</v>
      </c>
      <c r="K54">
        <f t="shared" si="0"/>
        <v>-2</v>
      </c>
      <c r="L54" t="e">
        <f t="shared" si="1"/>
        <v>#N/A</v>
      </c>
    </row>
    <row r="55" spans="1:12" x14ac:dyDescent="0.35">
      <c r="A55">
        <v>54</v>
      </c>
      <c r="B55" s="3" t="s">
        <v>7</v>
      </c>
      <c r="C55" s="3">
        <v>0</v>
      </c>
      <c r="D55" s="2">
        <v>0</v>
      </c>
      <c r="F55" s="4">
        <v>1</v>
      </c>
      <c r="G55" s="4" t="s">
        <v>8</v>
      </c>
      <c r="H55" s="4" t="s">
        <v>8</v>
      </c>
      <c r="I55" s="4" t="s">
        <v>8</v>
      </c>
      <c r="K55" t="e">
        <f t="shared" si="0"/>
        <v>#N/A</v>
      </c>
      <c r="L55">
        <f t="shared" si="1"/>
        <v>0</v>
      </c>
    </row>
    <row r="56" spans="1:12" x14ac:dyDescent="0.35">
      <c r="A56">
        <v>55</v>
      </c>
      <c r="B56" s="3" t="s">
        <v>9</v>
      </c>
      <c r="C56" s="3">
        <v>0</v>
      </c>
      <c r="D56" s="2">
        <v>0</v>
      </c>
      <c r="F56" s="4" t="s">
        <v>8</v>
      </c>
      <c r="G56" s="4">
        <v>1</v>
      </c>
      <c r="H56" s="4" t="s">
        <v>8</v>
      </c>
      <c r="I56" s="4" t="s">
        <v>8</v>
      </c>
      <c r="K56" t="e">
        <f t="shared" si="0"/>
        <v>#N/A</v>
      </c>
      <c r="L56">
        <f t="shared" si="1"/>
        <v>0</v>
      </c>
    </row>
    <row r="57" spans="1:12" x14ac:dyDescent="0.35">
      <c r="A57">
        <v>56</v>
      </c>
      <c r="B57" s="3" t="s">
        <v>9</v>
      </c>
      <c r="C57" s="3">
        <v>1</v>
      </c>
      <c r="D57" s="2">
        <v>-4</v>
      </c>
      <c r="F57" s="4" t="s">
        <v>8</v>
      </c>
      <c r="G57" s="4" t="s">
        <v>8</v>
      </c>
      <c r="H57" s="4" t="s">
        <v>8</v>
      </c>
      <c r="I57" s="4">
        <v>1</v>
      </c>
      <c r="K57">
        <f t="shared" si="0"/>
        <v>-4</v>
      </c>
      <c r="L57" t="e">
        <f t="shared" si="1"/>
        <v>#N/A</v>
      </c>
    </row>
    <row r="58" spans="1:12" x14ac:dyDescent="0.35">
      <c r="A58">
        <v>57</v>
      </c>
      <c r="B58" s="3" t="s">
        <v>9</v>
      </c>
      <c r="C58" s="3">
        <v>1</v>
      </c>
      <c r="D58" s="2">
        <v>-3</v>
      </c>
      <c r="F58" s="4" t="s">
        <v>8</v>
      </c>
      <c r="G58" s="4" t="s">
        <v>8</v>
      </c>
      <c r="H58" s="4" t="s">
        <v>8</v>
      </c>
      <c r="I58" s="4">
        <v>1</v>
      </c>
      <c r="K58">
        <f t="shared" si="0"/>
        <v>-3</v>
      </c>
      <c r="L58" t="e">
        <f t="shared" si="1"/>
        <v>#N/A</v>
      </c>
    </row>
    <row r="59" spans="1:12" x14ac:dyDescent="0.35">
      <c r="A59">
        <v>58</v>
      </c>
      <c r="B59" s="3" t="s">
        <v>7</v>
      </c>
      <c r="C59" s="3">
        <v>1</v>
      </c>
      <c r="D59" s="2">
        <v>0</v>
      </c>
      <c r="F59" s="4">
        <v>1</v>
      </c>
      <c r="G59" s="4" t="s">
        <v>8</v>
      </c>
      <c r="H59" s="4" t="s">
        <v>8</v>
      </c>
      <c r="I59" s="4" t="s">
        <v>8</v>
      </c>
      <c r="K59">
        <f t="shared" si="0"/>
        <v>0</v>
      </c>
      <c r="L59" t="e">
        <f t="shared" si="1"/>
        <v>#N/A</v>
      </c>
    </row>
    <row r="60" spans="1:12" x14ac:dyDescent="0.35">
      <c r="A60">
        <v>59</v>
      </c>
      <c r="B60" s="3" t="s">
        <v>9</v>
      </c>
      <c r="C60" s="3">
        <v>0</v>
      </c>
      <c r="D60" s="2">
        <v>0</v>
      </c>
      <c r="F60" s="4" t="s">
        <v>8</v>
      </c>
      <c r="G60" s="4">
        <v>1</v>
      </c>
      <c r="H60" s="4" t="s">
        <v>8</v>
      </c>
      <c r="I60" s="4" t="s">
        <v>8</v>
      </c>
      <c r="K60" t="e">
        <f t="shared" si="0"/>
        <v>#N/A</v>
      </c>
      <c r="L60">
        <f t="shared" si="1"/>
        <v>0</v>
      </c>
    </row>
    <row r="61" spans="1:12" x14ac:dyDescent="0.35">
      <c r="A61">
        <v>60</v>
      </c>
      <c r="B61" s="3" t="s">
        <v>7</v>
      </c>
      <c r="C61" s="3">
        <v>1</v>
      </c>
      <c r="D61" s="2">
        <v>0</v>
      </c>
      <c r="F61" s="4">
        <v>1</v>
      </c>
      <c r="G61" s="4" t="s">
        <v>8</v>
      </c>
      <c r="H61" s="4" t="s">
        <v>8</v>
      </c>
      <c r="I61" s="4" t="s">
        <v>8</v>
      </c>
      <c r="K61">
        <f t="shared" si="0"/>
        <v>0</v>
      </c>
      <c r="L61" t="e">
        <f t="shared" si="1"/>
        <v>#N/A</v>
      </c>
    </row>
    <row r="62" spans="1:12" x14ac:dyDescent="0.35">
      <c r="A62">
        <v>61</v>
      </c>
      <c r="B62" s="3" t="s">
        <v>7</v>
      </c>
      <c r="C62" s="3">
        <v>0</v>
      </c>
      <c r="D62" s="2">
        <v>1</v>
      </c>
      <c r="F62" s="4" t="s">
        <v>8</v>
      </c>
      <c r="G62" s="4" t="s">
        <v>8</v>
      </c>
      <c r="H62" s="4">
        <v>1</v>
      </c>
      <c r="I62" s="4" t="s">
        <v>8</v>
      </c>
      <c r="K62" t="e">
        <f t="shared" si="0"/>
        <v>#N/A</v>
      </c>
      <c r="L62">
        <f t="shared" si="1"/>
        <v>1</v>
      </c>
    </row>
    <row r="63" spans="1:12" x14ac:dyDescent="0.35">
      <c r="A63">
        <v>62</v>
      </c>
      <c r="B63" s="3" t="s">
        <v>9</v>
      </c>
      <c r="C63" s="3">
        <v>1</v>
      </c>
      <c r="D63" s="2">
        <v>3</v>
      </c>
      <c r="F63" s="4" t="s">
        <v>8</v>
      </c>
      <c r="G63" s="4" t="s">
        <v>8</v>
      </c>
      <c r="H63" s="4" t="s">
        <v>8</v>
      </c>
      <c r="I63" s="4">
        <v>1</v>
      </c>
      <c r="K63">
        <f t="shared" si="0"/>
        <v>3</v>
      </c>
      <c r="L63" t="e">
        <f t="shared" si="1"/>
        <v>#N/A</v>
      </c>
    </row>
    <row r="64" spans="1:12" x14ac:dyDescent="0.35">
      <c r="A64">
        <v>63</v>
      </c>
      <c r="B64" s="3" t="s">
        <v>7</v>
      </c>
      <c r="C64" s="3">
        <v>1</v>
      </c>
      <c r="D64" s="2">
        <v>0</v>
      </c>
      <c r="F64" s="4">
        <v>1</v>
      </c>
      <c r="G64" s="4" t="s">
        <v>8</v>
      </c>
      <c r="H64" s="4" t="s">
        <v>8</v>
      </c>
      <c r="I64" s="4" t="s">
        <v>8</v>
      </c>
      <c r="K64">
        <f t="shared" si="0"/>
        <v>0</v>
      </c>
      <c r="L64" t="e">
        <f t="shared" si="1"/>
        <v>#N/A</v>
      </c>
    </row>
    <row r="65" spans="1:12" x14ac:dyDescent="0.35">
      <c r="A65">
        <v>64</v>
      </c>
      <c r="B65" s="3" t="s">
        <v>7</v>
      </c>
      <c r="C65" s="3">
        <v>0</v>
      </c>
      <c r="D65" s="2">
        <v>2</v>
      </c>
      <c r="F65" s="4" t="s">
        <v>8</v>
      </c>
      <c r="G65" s="4" t="s">
        <v>8</v>
      </c>
      <c r="H65" s="4">
        <v>1</v>
      </c>
      <c r="I65" s="4" t="s">
        <v>8</v>
      </c>
      <c r="K65" t="e">
        <f t="shared" si="0"/>
        <v>#N/A</v>
      </c>
      <c r="L65">
        <f t="shared" si="1"/>
        <v>2</v>
      </c>
    </row>
    <row r="66" spans="1:12" x14ac:dyDescent="0.35">
      <c r="A66">
        <v>65</v>
      </c>
      <c r="B66" s="3" t="s">
        <v>9</v>
      </c>
      <c r="C66" s="3">
        <v>1</v>
      </c>
      <c r="D66" s="2">
        <v>3</v>
      </c>
      <c r="F66" s="4" t="s">
        <v>8</v>
      </c>
      <c r="G66" s="4" t="s">
        <v>8</v>
      </c>
      <c r="H66" s="4" t="s">
        <v>8</v>
      </c>
      <c r="I66" s="4">
        <v>1</v>
      </c>
      <c r="K66">
        <f t="shared" si="0"/>
        <v>3</v>
      </c>
      <c r="L66" t="e">
        <f t="shared" si="1"/>
        <v>#N/A</v>
      </c>
    </row>
    <row r="67" spans="1:12" x14ac:dyDescent="0.35">
      <c r="A67">
        <v>66</v>
      </c>
      <c r="B67" s="3" t="s">
        <v>7</v>
      </c>
      <c r="C67" s="3">
        <v>0</v>
      </c>
      <c r="D67" s="2">
        <v>1</v>
      </c>
      <c r="F67" s="4" t="s">
        <v>8</v>
      </c>
      <c r="G67" s="4" t="s">
        <v>8</v>
      </c>
      <c r="H67" s="4">
        <v>1</v>
      </c>
      <c r="I67" s="4" t="s">
        <v>8</v>
      </c>
      <c r="K67" t="e">
        <f t="shared" ref="K67:K101" si="2">IF(C67=1,D67,NA())</f>
        <v>#N/A</v>
      </c>
      <c r="L67">
        <f t="shared" ref="L67:L101" si="3">IF(C67=0,D67,NA())</f>
        <v>1</v>
      </c>
    </row>
    <row r="68" spans="1:12" x14ac:dyDescent="0.35">
      <c r="A68">
        <v>67</v>
      </c>
      <c r="B68" s="3" t="s">
        <v>7</v>
      </c>
      <c r="C68" s="3">
        <v>0</v>
      </c>
      <c r="D68" s="2">
        <v>-2</v>
      </c>
      <c r="F68" s="4" t="s">
        <v>8</v>
      </c>
      <c r="G68" s="4" t="s">
        <v>8</v>
      </c>
      <c r="H68" s="4">
        <v>1</v>
      </c>
      <c r="I68" s="4" t="s">
        <v>8</v>
      </c>
      <c r="K68" t="e">
        <f t="shared" si="2"/>
        <v>#N/A</v>
      </c>
      <c r="L68">
        <f t="shared" si="3"/>
        <v>-2</v>
      </c>
    </row>
    <row r="69" spans="1:12" x14ac:dyDescent="0.35">
      <c r="A69">
        <v>68</v>
      </c>
      <c r="B69" s="3" t="s">
        <v>7</v>
      </c>
      <c r="C69" s="3">
        <v>1</v>
      </c>
      <c r="D69" s="2">
        <v>0</v>
      </c>
      <c r="F69" s="4">
        <v>1</v>
      </c>
      <c r="G69" s="4" t="s">
        <v>8</v>
      </c>
      <c r="H69" s="4" t="s">
        <v>8</v>
      </c>
      <c r="I69" s="4" t="s">
        <v>8</v>
      </c>
      <c r="K69">
        <f t="shared" si="2"/>
        <v>0</v>
      </c>
      <c r="L69" t="e">
        <f t="shared" si="3"/>
        <v>#N/A</v>
      </c>
    </row>
    <row r="70" spans="1:12" x14ac:dyDescent="0.35">
      <c r="A70">
        <v>69</v>
      </c>
      <c r="B70" s="3" t="s">
        <v>7</v>
      </c>
      <c r="C70" s="3">
        <v>0</v>
      </c>
      <c r="D70" s="2">
        <v>-1</v>
      </c>
      <c r="F70" s="4" t="s">
        <v>8</v>
      </c>
      <c r="G70" s="4" t="s">
        <v>8</v>
      </c>
      <c r="H70" s="4">
        <v>1</v>
      </c>
      <c r="I70" s="4" t="s">
        <v>8</v>
      </c>
      <c r="K70" t="e">
        <f t="shared" si="2"/>
        <v>#N/A</v>
      </c>
      <c r="L70">
        <f t="shared" si="3"/>
        <v>-1</v>
      </c>
    </row>
    <row r="71" spans="1:12" x14ac:dyDescent="0.35">
      <c r="A71">
        <v>70</v>
      </c>
      <c r="B71" s="3" t="s">
        <v>7</v>
      </c>
      <c r="C71" s="3">
        <v>1</v>
      </c>
      <c r="D71" s="2">
        <v>0</v>
      </c>
      <c r="F71" s="4">
        <v>1</v>
      </c>
      <c r="G71" s="4" t="s">
        <v>8</v>
      </c>
      <c r="H71" s="4" t="s">
        <v>8</v>
      </c>
      <c r="I71" s="4" t="s">
        <v>8</v>
      </c>
      <c r="K71">
        <f t="shared" si="2"/>
        <v>0</v>
      </c>
      <c r="L71" t="e">
        <f t="shared" si="3"/>
        <v>#N/A</v>
      </c>
    </row>
    <row r="72" spans="1:12" x14ac:dyDescent="0.35">
      <c r="A72">
        <v>71</v>
      </c>
      <c r="B72" s="3" t="s">
        <v>7</v>
      </c>
      <c r="C72" s="3">
        <v>1</v>
      </c>
      <c r="D72" s="2">
        <v>0</v>
      </c>
      <c r="F72" s="4">
        <v>1</v>
      </c>
      <c r="G72" s="4" t="s">
        <v>8</v>
      </c>
      <c r="H72" s="4" t="s">
        <v>8</v>
      </c>
      <c r="I72" s="4" t="s">
        <v>8</v>
      </c>
      <c r="K72">
        <f t="shared" si="2"/>
        <v>0</v>
      </c>
      <c r="L72" t="e">
        <f t="shared" si="3"/>
        <v>#N/A</v>
      </c>
    </row>
    <row r="73" spans="1:12" x14ac:dyDescent="0.35">
      <c r="A73">
        <v>72</v>
      </c>
      <c r="B73" s="3" t="s">
        <v>7</v>
      </c>
      <c r="C73" s="3">
        <v>1</v>
      </c>
      <c r="D73" s="2">
        <v>0</v>
      </c>
      <c r="F73" s="4">
        <v>1</v>
      </c>
      <c r="G73" s="4" t="s">
        <v>8</v>
      </c>
      <c r="H73" s="4" t="s">
        <v>8</v>
      </c>
      <c r="I73" s="4" t="s">
        <v>8</v>
      </c>
      <c r="K73">
        <f t="shared" si="2"/>
        <v>0</v>
      </c>
      <c r="L73" t="e">
        <f t="shared" si="3"/>
        <v>#N/A</v>
      </c>
    </row>
    <row r="74" spans="1:12" x14ac:dyDescent="0.35">
      <c r="A74">
        <v>73</v>
      </c>
      <c r="B74" s="3" t="s">
        <v>9</v>
      </c>
      <c r="C74" s="3">
        <v>1</v>
      </c>
      <c r="D74" s="2">
        <v>-4</v>
      </c>
      <c r="F74" s="4" t="s">
        <v>8</v>
      </c>
      <c r="G74" s="4" t="s">
        <v>8</v>
      </c>
      <c r="H74" s="4" t="s">
        <v>8</v>
      </c>
      <c r="I74" s="4">
        <v>1</v>
      </c>
      <c r="K74">
        <f t="shared" si="2"/>
        <v>-4</v>
      </c>
      <c r="L74" t="e">
        <f t="shared" si="3"/>
        <v>#N/A</v>
      </c>
    </row>
    <row r="75" spans="1:12" x14ac:dyDescent="0.35">
      <c r="A75">
        <v>74</v>
      </c>
      <c r="B75" s="3" t="s">
        <v>9</v>
      </c>
      <c r="C75" s="3">
        <v>1</v>
      </c>
      <c r="D75" s="2">
        <v>4</v>
      </c>
      <c r="F75" s="4" t="s">
        <v>8</v>
      </c>
      <c r="G75" s="4" t="s">
        <v>8</v>
      </c>
      <c r="H75" s="4" t="s">
        <v>8</v>
      </c>
      <c r="I75" s="4">
        <v>1</v>
      </c>
      <c r="K75">
        <f t="shared" si="2"/>
        <v>4</v>
      </c>
      <c r="L75" t="e">
        <f t="shared" si="3"/>
        <v>#N/A</v>
      </c>
    </row>
    <row r="76" spans="1:12" x14ac:dyDescent="0.35">
      <c r="A76">
        <v>75</v>
      </c>
      <c r="B76" s="3" t="s">
        <v>9</v>
      </c>
      <c r="C76" s="3">
        <v>1</v>
      </c>
      <c r="D76" s="2">
        <v>-5</v>
      </c>
      <c r="F76" s="4" t="s">
        <v>8</v>
      </c>
      <c r="G76" s="4" t="s">
        <v>8</v>
      </c>
      <c r="H76" s="4" t="s">
        <v>8</v>
      </c>
      <c r="I76" s="4">
        <v>1</v>
      </c>
      <c r="K76">
        <f t="shared" si="2"/>
        <v>-5</v>
      </c>
      <c r="L76" t="e">
        <f t="shared" si="3"/>
        <v>#N/A</v>
      </c>
    </row>
    <row r="77" spans="1:12" x14ac:dyDescent="0.35">
      <c r="A77">
        <v>76</v>
      </c>
      <c r="B77" s="3" t="s">
        <v>9</v>
      </c>
      <c r="C77" s="3">
        <v>1</v>
      </c>
      <c r="D77" s="2">
        <v>-3</v>
      </c>
      <c r="F77" s="4" t="s">
        <v>8</v>
      </c>
      <c r="G77" s="4" t="s">
        <v>8</v>
      </c>
      <c r="H77" s="4" t="s">
        <v>8</v>
      </c>
      <c r="I77" s="4">
        <v>1</v>
      </c>
      <c r="K77">
        <f t="shared" si="2"/>
        <v>-3</v>
      </c>
      <c r="L77" t="e">
        <f t="shared" si="3"/>
        <v>#N/A</v>
      </c>
    </row>
    <row r="78" spans="1:12" x14ac:dyDescent="0.35">
      <c r="A78">
        <v>77</v>
      </c>
      <c r="B78" s="3" t="s">
        <v>9</v>
      </c>
      <c r="C78" s="3">
        <v>0</v>
      </c>
      <c r="D78" s="2">
        <v>0</v>
      </c>
      <c r="F78" s="4" t="s">
        <v>8</v>
      </c>
      <c r="G78" s="4">
        <v>1</v>
      </c>
      <c r="H78" s="4" t="s">
        <v>8</v>
      </c>
      <c r="I78" s="4" t="s">
        <v>8</v>
      </c>
      <c r="K78" t="e">
        <f t="shared" si="2"/>
        <v>#N/A</v>
      </c>
      <c r="L78">
        <f t="shared" si="3"/>
        <v>0</v>
      </c>
    </row>
    <row r="79" spans="1:12" x14ac:dyDescent="0.35">
      <c r="A79">
        <v>78</v>
      </c>
      <c r="B79" s="3" t="s">
        <v>7</v>
      </c>
      <c r="C79" s="3">
        <v>1</v>
      </c>
      <c r="D79" s="2">
        <v>0</v>
      </c>
      <c r="F79" s="4">
        <v>1</v>
      </c>
      <c r="G79" s="4" t="s">
        <v>8</v>
      </c>
      <c r="H79" s="4" t="s">
        <v>8</v>
      </c>
      <c r="I79" s="4" t="s">
        <v>8</v>
      </c>
      <c r="K79">
        <f t="shared" si="2"/>
        <v>0</v>
      </c>
      <c r="L79" t="e">
        <f t="shared" si="3"/>
        <v>#N/A</v>
      </c>
    </row>
    <row r="80" spans="1:12" x14ac:dyDescent="0.35">
      <c r="A80">
        <v>79</v>
      </c>
      <c r="B80" s="3" t="s">
        <v>9</v>
      </c>
      <c r="C80" s="3">
        <v>1</v>
      </c>
      <c r="D80" s="2">
        <v>-5</v>
      </c>
      <c r="F80" s="4" t="s">
        <v>8</v>
      </c>
      <c r="G80" s="4" t="s">
        <v>8</v>
      </c>
      <c r="H80" s="4" t="s">
        <v>8</v>
      </c>
      <c r="I80" s="4">
        <v>1</v>
      </c>
      <c r="K80">
        <f t="shared" si="2"/>
        <v>-5</v>
      </c>
      <c r="L80" t="e">
        <f t="shared" si="3"/>
        <v>#N/A</v>
      </c>
    </row>
    <row r="81" spans="1:12" x14ac:dyDescent="0.35">
      <c r="A81">
        <v>80</v>
      </c>
      <c r="B81" s="3" t="s">
        <v>7</v>
      </c>
      <c r="C81" s="3">
        <v>1</v>
      </c>
      <c r="D81" s="2">
        <v>0</v>
      </c>
      <c r="F81" s="4">
        <v>1</v>
      </c>
      <c r="G81" s="4" t="s">
        <v>8</v>
      </c>
      <c r="H81" s="4" t="s">
        <v>8</v>
      </c>
      <c r="I81" s="4" t="s">
        <v>8</v>
      </c>
      <c r="K81">
        <f t="shared" si="2"/>
        <v>0</v>
      </c>
      <c r="L81" t="e">
        <f t="shared" si="3"/>
        <v>#N/A</v>
      </c>
    </row>
    <row r="82" spans="1:12" x14ac:dyDescent="0.35">
      <c r="A82">
        <v>81</v>
      </c>
      <c r="B82" s="3" t="s">
        <v>7</v>
      </c>
      <c r="C82" s="3">
        <v>1</v>
      </c>
      <c r="D82" s="2">
        <v>0</v>
      </c>
      <c r="F82" s="4">
        <v>1</v>
      </c>
      <c r="G82" s="4" t="s">
        <v>8</v>
      </c>
      <c r="H82" s="4" t="s">
        <v>8</v>
      </c>
      <c r="I82" s="4" t="s">
        <v>8</v>
      </c>
      <c r="K82">
        <f t="shared" si="2"/>
        <v>0</v>
      </c>
      <c r="L82" t="e">
        <f t="shared" si="3"/>
        <v>#N/A</v>
      </c>
    </row>
    <row r="83" spans="1:12" x14ac:dyDescent="0.35">
      <c r="A83">
        <v>82</v>
      </c>
      <c r="B83" s="3" t="s">
        <v>7</v>
      </c>
      <c r="C83" s="3">
        <v>1</v>
      </c>
      <c r="D83" s="2">
        <v>0</v>
      </c>
      <c r="F83" s="4">
        <v>1</v>
      </c>
      <c r="G83" s="4" t="s">
        <v>8</v>
      </c>
      <c r="H83" s="4" t="s">
        <v>8</v>
      </c>
      <c r="I83" s="4" t="s">
        <v>8</v>
      </c>
      <c r="K83">
        <f t="shared" si="2"/>
        <v>0</v>
      </c>
      <c r="L83" t="e">
        <f t="shared" si="3"/>
        <v>#N/A</v>
      </c>
    </row>
    <row r="84" spans="1:12" x14ac:dyDescent="0.35">
      <c r="A84">
        <v>83</v>
      </c>
      <c r="B84" s="3" t="s">
        <v>9</v>
      </c>
      <c r="C84" s="3">
        <v>1</v>
      </c>
      <c r="D84" s="2">
        <v>-2</v>
      </c>
      <c r="F84" s="4" t="s">
        <v>8</v>
      </c>
      <c r="G84" s="4" t="s">
        <v>8</v>
      </c>
      <c r="H84" s="4" t="s">
        <v>8</v>
      </c>
      <c r="I84" s="4">
        <v>1</v>
      </c>
      <c r="K84">
        <f t="shared" si="2"/>
        <v>-2</v>
      </c>
      <c r="L84" t="e">
        <f t="shared" si="3"/>
        <v>#N/A</v>
      </c>
    </row>
    <row r="85" spans="1:12" x14ac:dyDescent="0.35">
      <c r="A85">
        <v>84</v>
      </c>
      <c r="B85" s="3" t="s">
        <v>7</v>
      </c>
      <c r="C85" s="3">
        <v>0</v>
      </c>
      <c r="D85" s="2">
        <v>-1</v>
      </c>
      <c r="F85" s="4" t="s">
        <v>8</v>
      </c>
      <c r="G85" s="4" t="s">
        <v>8</v>
      </c>
      <c r="H85" s="4">
        <v>1</v>
      </c>
      <c r="I85" s="4" t="s">
        <v>8</v>
      </c>
      <c r="K85" t="e">
        <f t="shared" si="2"/>
        <v>#N/A</v>
      </c>
      <c r="L85">
        <f t="shared" si="3"/>
        <v>-1</v>
      </c>
    </row>
    <row r="86" spans="1:12" x14ac:dyDescent="0.35">
      <c r="A86">
        <v>85</v>
      </c>
      <c r="B86" s="3" t="s">
        <v>9</v>
      </c>
      <c r="C86" s="3">
        <v>1</v>
      </c>
      <c r="D86" s="2">
        <v>3</v>
      </c>
      <c r="F86" s="4" t="s">
        <v>8</v>
      </c>
      <c r="G86" s="4" t="s">
        <v>8</v>
      </c>
      <c r="H86" s="4" t="s">
        <v>8</v>
      </c>
      <c r="I86" s="4">
        <v>1</v>
      </c>
      <c r="K86">
        <f t="shared" si="2"/>
        <v>3</v>
      </c>
      <c r="L86" t="e">
        <f t="shared" si="3"/>
        <v>#N/A</v>
      </c>
    </row>
    <row r="87" spans="1:12" x14ac:dyDescent="0.35">
      <c r="A87">
        <v>86</v>
      </c>
      <c r="B87" s="3" t="s">
        <v>7</v>
      </c>
      <c r="C87" s="3">
        <v>0</v>
      </c>
      <c r="D87" s="2">
        <v>0</v>
      </c>
      <c r="F87" s="4">
        <v>1</v>
      </c>
      <c r="G87" s="4" t="s">
        <v>8</v>
      </c>
      <c r="H87" s="4" t="s">
        <v>8</v>
      </c>
      <c r="I87" s="4" t="s">
        <v>8</v>
      </c>
      <c r="K87" t="e">
        <f t="shared" si="2"/>
        <v>#N/A</v>
      </c>
      <c r="L87">
        <f t="shared" si="3"/>
        <v>0</v>
      </c>
    </row>
    <row r="88" spans="1:12" x14ac:dyDescent="0.35">
      <c r="A88">
        <v>87</v>
      </c>
      <c r="B88" s="3" t="s">
        <v>7</v>
      </c>
      <c r="C88" s="3">
        <v>1</v>
      </c>
      <c r="D88" s="2">
        <v>0</v>
      </c>
      <c r="F88" s="4">
        <v>1</v>
      </c>
      <c r="G88" s="4" t="s">
        <v>8</v>
      </c>
      <c r="H88" s="4" t="s">
        <v>8</v>
      </c>
      <c r="I88" s="4" t="s">
        <v>8</v>
      </c>
      <c r="K88">
        <f t="shared" si="2"/>
        <v>0</v>
      </c>
      <c r="L88" t="e">
        <f t="shared" si="3"/>
        <v>#N/A</v>
      </c>
    </row>
    <row r="89" spans="1:12" x14ac:dyDescent="0.35">
      <c r="A89">
        <v>88</v>
      </c>
      <c r="B89" s="3" t="s">
        <v>9</v>
      </c>
      <c r="C89" s="3">
        <v>1</v>
      </c>
      <c r="D89" s="2">
        <v>-5</v>
      </c>
      <c r="F89" s="4" t="s">
        <v>8</v>
      </c>
      <c r="G89" s="4" t="s">
        <v>8</v>
      </c>
      <c r="H89" s="4" t="s">
        <v>8</v>
      </c>
      <c r="I89" s="4">
        <v>1</v>
      </c>
      <c r="K89">
        <f t="shared" si="2"/>
        <v>-5</v>
      </c>
      <c r="L89" t="e">
        <f t="shared" si="3"/>
        <v>#N/A</v>
      </c>
    </row>
    <row r="90" spans="1:12" x14ac:dyDescent="0.35">
      <c r="A90">
        <v>89</v>
      </c>
      <c r="B90" s="3" t="s">
        <v>7</v>
      </c>
      <c r="C90" s="3">
        <v>1</v>
      </c>
      <c r="D90" s="2">
        <v>0</v>
      </c>
      <c r="F90" s="4">
        <v>1</v>
      </c>
      <c r="G90" s="4" t="s">
        <v>8</v>
      </c>
      <c r="H90" s="4" t="s">
        <v>8</v>
      </c>
      <c r="I90" s="4" t="s">
        <v>8</v>
      </c>
      <c r="K90">
        <f t="shared" si="2"/>
        <v>0</v>
      </c>
      <c r="L90" t="e">
        <f t="shared" si="3"/>
        <v>#N/A</v>
      </c>
    </row>
    <row r="91" spans="1:12" x14ac:dyDescent="0.35">
      <c r="A91">
        <v>90</v>
      </c>
      <c r="B91" s="3" t="s">
        <v>9</v>
      </c>
      <c r="C91" s="3">
        <v>1</v>
      </c>
      <c r="D91" s="2">
        <v>0</v>
      </c>
      <c r="F91" s="4" t="s">
        <v>8</v>
      </c>
      <c r="G91" s="4">
        <v>1</v>
      </c>
      <c r="H91" s="4" t="s">
        <v>8</v>
      </c>
      <c r="I91" s="4" t="s">
        <v>8</v>
      </c>
      <c r="K91">
        <f t="shared" si="2"/>
        <v>0</v>
      </c>
      <c r="L91" t="e">
        <f t="shared" si="3"/>
        <v>#N/A</v>
      </c>
    </row>
    <row r="92" spans="1:12" x14ac:dyDescent="0.35">
      <c r="A92">
        <v>91</v>
      </c>
      <c r="B92" s="3" t="s">
        <v>7</v>
      </c>
      <c r="C92" s="3">
        <v>0</v>
      </c>
      <c r="D92" s="2">
        <v>-4</v>
      </c>
      <c r="F92" s="4" t="s">
        <v>8</v>
      </c>
      <c r="G92" s="4" t="s">
        <v>8</v>
      </c>
      <c r="H92" s="4">
        <v>1</v>
      </c>
      <c r="I92" s="4" t="s">
        <v>8</v>
      </c>
      <c r="K92" t="e">
        <f t="shared" si="2"/>
        <v>#N/A</v>
      </c>
      <c r="L92">
        <f t="shared" si="3"/>
        <v>-4</v>
      </c>
    </row>
    <row r="93" spans="1:12" x14ac:dyDescent="0.35">
      <c r="A93">
        <v>92</v>
      </c>
      <c r="B93" s="3" t="s">
        <v>7</v>
      </c>
      <c r="C93" s="3">
        <v>1</v>
      </c>
      <c r="D93" s="2">
        <v>0</v>
      </c>
      <c r="F93" s="4">
        <v>1</v>
      </c>
      <c r="G93" s="4" t="s">
        <v>8</v>
      </c>
      <c r="H93" s="4" t="s">
        <v>8</v>
      </c>
      <c r="I93" s="4" t="s">
        <v>8</v>
      </c>
      <c r="K93">
        <f t="shared" si="2"/>
        <v>0</v>
      </c>
      <c r="L93" t="e">
        <f t="shared" si="3"/>
        <v>#N/A</v>
      </c>
    </row>
    <row r="94" spans="1:12" x14ac:dyDescent="0.35">
      <c r="A94">
        <v>93</v>
      </c>
      <c r="B94" s="3" t="s">
        <v>7</v>
      </c>
      <c r="C94" s="3">
        <v>1</v>
      </c>
      <c r="D94" s="2">
        <v>0</v>
      </c>
      <c r="F94" s="4">
        <v>1</v>
      </c>
      <c r="G94" s="4" t="s">
        <v>8</v>
      </c>
      <c r="H94" s="4" t="s">
        <v>8</v>
      </c>
      <c r="I94" s="4" t="s">
        <v>8</v>
      </c>
      <c r="K94">
        <f t="shared" si="2"/>
        <v>0</v>
      </c>
      <c r="L94" t="e">
        <f t="shared" si="3"/>
        <v>#N/A</v>
      </c>
    </row>
    <row r="95" spans="1:12" x14ac:dyDescent="0.35">
      <c r="A95">
        <v>94</v>
      </c>
      <c r="B95" s="3" t="s">
        <v>7</v>
      </c>
      <c r="C95" s="3">
        <v>0</v>
      </c>
      <c r="D95" s="2">
        <v>-1</v>
      </c>
      <c r="F95" s="4" t="s">
        <v>8</v>
      </c>
      <c r="G95" s="4" t="s">
        <v>8</v>
      </c>
      <c r="H95" s="4">
        <v>1</v>
      </c>
      <c r="I95" s="4" t="s">
        <v>8</v>
      </c>
      <c r="K95" t="e">
        <f t="shared" si="2"/>
        <v>#N/A</v>
      </c>
      <c r="L95">
        <f t="shared" si="3"/>
        <v>-1</v>
      </c>
    </row>
    <row r="96" spans="1:12" x14ac:dyDescent="0.35">
      <c r="A96">
        <v>95</v>
      </c>
      <c r="B96" s="3" t="s">
        <v>7</v>
      </c>
      <c r="C96" s="3">
        <v>1</v>
      </c>
      <c r="D96" s="2">
        <v>0</v>
      </c>
      <c r="F96" s="4">
        <v>1</v>
      </c>
      <c r="G96" s="4" t="s">
        <v>8</v>
      </c>
      <c r="H96" s="4" t="s">
        <v>8</v>
      </c>
      <c r="I96" s="4" t="s">
        <v>8</v>
      </c>
      <c r="K96">
        <f t="shared" si="2"/>
        <v>0</v>
      </c>
      <c r="L96" t="e">
        <f t="shared" si="3"/>
        <v>#N/A</v>
      </c>
    </row>
    <row r="97" spans="1:12" x14ac:dyDescent="0.35">
      <c r="A97">
        <v>96</v>
      </c>
      <c r="B97" s="3" t="s">
        <v>9</v>
      </c>
      <c r="C97" s="3">
        <v>1</v>
      </c>
      <c r="D97" s="2">
        <v>-3</v>
      </c>
      <c r="F97" s="4" t="s">
        <v>8</v>
      </c>
      <c r="G97" s="4" t="s">
        <v>8</v>
      </c>
      <c r="H97" s="4" t="s">
        <v>8</v>
      </c>
      <c r="I97" s="4">
        <v>1</v>
      </c>
      <c r="K97">
        <f t="shared" si="2"/>
        <v>-3</v>
      </c>
      <c r="L97" t="e">
        <f t="shared" si="3"/>
        <v>#N/A</v>
      </c>
    </row>
    <row r="98" spans="1:12" x14ac:dyDescent="0.35">
      <c r="A98">
        <v>97</v>
      </c>
      <c r="B98" s="3" t="s">
        <v>7</v>
      </c>
      <c r="C98" s="3">
        <v>0</v>
      </c>
      <c r="D98" s="2">
        <v>-1</v>
      </c>
      <c r="F98" s="4" t="s">
        <v>8</v>
      </c>
      <c r="G98" s="4" t="s">
        <v>8</v>
      </c>
      <c r="H98" s="4">
        <v>1</v>
      </c>
      <c r="I98" s="4" t="s">
        <v>8</v>
      </c>
      <c r="K98" t="e">
        <f t="shared" si="2"/>
        <v>#N/A</v>
      </c>
      <c r="L98">
        <f t="shared" si="3"/>
        <v>-1</v>
      </c>
    </row>
    <row r="99" spans="1:12" x14ac:dyDescent="0.35">
      <c r="A99">
        <v>98</v>
      </c>
      <c r="B99" s="3" t="s">
        <v>7</v>
      </c>
      <c r="C99" s="3">
        <v>1</v>
      </c>
      <c r="D99" s="2">
        <v>0</v>
      </c>
      <c r="F99" s="4">
        <v>1</v>
      </c>
      <c r="G99" s="4" t="s">
        <v>8</v>
      </c>
      <c r="H99" s="4" t="s">
        <v>8</v>
      </c>
      <c r="I99" s="4" t="s">
        <v>8</v>
      </c>
      <c r="K99">
        <f t="shared" si="2"/>
        <v>0</v>
      </c>
      <c r="L99" t="e">
        <f t="shared" si="3"/>
        <v>#N/A</v>
      </c>
    </row>
    <row r="100" spans="1:12" x14ac:dyDescent="0.35">
      <c r="A100">
        <v>99</v>
      </c>
      <c r="B100" s="3" t="s">
        <v>9</v>
      </c>
      <c r="C100" s="3">
        <v>1</v>
      </c>
      <c r="D100" s="2">
        <v>4</v>
      </c>
      <c r="F100" s="4" t="s">
        <v>8</v>
      </c>
      <c r="G100" s="4" t="s">
        <v>8</v>
      </c>
      <c r="H100" s="4" t="s">
        <v>8</v>
      </c>
      <c r="I100" s="4">
        <v>1</v>
      </c>
      <c r="K100">
        <f t="shared" si="2"/>
        <v>4</v>
      </c>
      <c r="L100" t="e">
        <f t="shared" si="3"/>
        <v>#N/A</v>
      </c>
    </row>
    <row r="101" spans="1:12" x14ac:dyDescent="0.35">
      <c r="A101">
        <v>100</v>
      </c>
      <c r="B101" s="3" t="s">
        <v>7</v>
      </c>
      <c r="C101" s="3">
        <v>1</v>
      </c>
      <c r="D101" s="2">
        <v>0</v>
      </c>
      <c r="F101" s="4">
        <v>1</v>
      </c>
      <c r="G101" s="4" t="s">
        <v>8</v>
      </c>
      <c r="H101" s="4" t="s">
        <v>8</v>
      </c>
      <c r="I101" s="4" t="s">
        <v>8</v>
      </c>
      <c r="K101">
        <f t="shared" si="2"/>
        <v>0</v>
      </c>
      <c r="L101" t="e">
        <f t="shared" si="3"/>
        <v>#N/A</v>
      </c>
    </row>
    <row r="102" spans="1:12" x14ac:dyDescent="0.35">
      <c r="B102" s="3"/>
      <c r="C102" s="3"/>
      <c r="D102" s="2"/>
      <c r="E102" s="7" t="s">
        <v>10</v>
      </c>
      <c r="F102" s="1">
        <f>SUM(F2:F101)</f>
        <v>43</v>
      </c>
      <c r="G102" s="1">
        <f>SUM(G2:G101)</f>
        <v>12</v>
      </c>
      <c r="H102" s="1">
        <f>SUM(H2:H101)</f>
        <v>17</v>
      </c>
      <c r="I102" s="1">
        <f>SUM(I2:I101)</f>
        <v>28</v>
      </c>
    </row>
    <row r="103" spans="1:12" x14ac:dyDescent="0.35">
      <c r="B103" s="3"/>
      <c r="C103" s="3"/>
      <c r="D103" s="2"/>
    </row>
    <row r="104" spans="1:12" x14ac:dyDescent="0.35">
      <c r="B104" s="3"/>
      <c r="C104" s="3"/>
      <c r="D104" s="2"/>
    </row>
    <row r="105" spans="1:12" x14ac:dyDescent="0.35">
      <c r="B105" s="3"/>
      <c r="C105" s="3"/>
      <c r="D105" s="2"/>
      <c r="F105" s="5" t="s">
        <v>11</v>
      </c>
      <c r="G105" s="3">
        <v>43</v>
      </c>
      <c r="I105" s="6" t="s">
        <v>13</v>
      </c>
      <c r="J105" s="3">
        <f>F102/(F102+G102)</f>
        <v>0.78181818181818186</v>
      </c>
    </row>
    <row r="106" spans="1:12" x14ac:dyDescent="0.35">
      <c r="B106" s="3"/>
      <c r="C106" s="3"/>
      <c r="D106" s="2"/>
      <c r="F106" s="5" t="s">
        <v>4</v>
      </c>
      <c r="G106" s="3">
        <v>12</v>
      </c>
      <c r="I106" s="6" t="s">
        <v>14</v>
      </c>
      <c r="J106" s="3">
        <f>H102/(H102+I102)</f>
        <v>0.37777777777777777</v>
      </c>
    </row>
    <row r="107" spans="1:12" x14ac:dyDescent="0.35">
      <c r="B107" s="3"/>
      <c r="C107" s="3"/>
      <c r="D107" s="2"/>
      <c r="F107" s="5" t="s">
        <v>12</v>
      </c>
      <c r="G107" s="3">
        <v>17</v>
      </c>
      <c r="I107" s="6"/>
      <c r="J107" s="3"/>
    </row>
    <row r="108" spans="1:12" x14ac:dyDescent="0.35">
      <c r="B108" s="3"/>
      <c r="C108" s="3"/>
      <c r="D108" s="2"/>
      <c r="F108" s="5" t="s">
        <v>6</v>
      </c>
      <c r="G108" s="3">
        <v>28</v>
      </c>
      <c r="I108" s="6" t="s">
        <v>15</v>
      </c>
      <c r="J108" s="3">
        <f>NORMSINV(J105) - NORMSINV(J106)</f>
        <v>1.0896708020289854</v>
      </c>
    </row>
    <row r="109" spans="1:12" x14ac:dyDescent="0.35">
      <c r="B109" s="3"/>
      <c r="C109" s="3"/>
      <c r="D109" s="2"/>
      <c r="I109" s="6" t="s">
        <v>16</v>
      </c>
      <c r="J109" s="3">
        <f>-((NORMSINV(J105)+NORMSINV(J106))/2)</f>
        <v>-0.23351302137035138</v>
      </c>
    </row>
    <row r="110" spans="1:12" x14ac:dyDescent="0.35">
      <c r="B110" s="3"/>
      <c r="C110" s="3"/>
      <c r="D110" s="2"/>
    </row>
    <row r="111" spans="1:12" x14ac:dyDescent="0.35">
      <c r="B111" s="3"/>
      <c r="C111" s="3"/>
      <c r="D111" s="2"/>
    </row>
    <row r="112" spans="1:12" x14ac:dyDescent="0.35">
      <c r="B112" s="3"/>
      <c r="C112" s="3"/>
      <c r="D112" s="2"/>
    </row>
    <row r="113" spans="2:4" x14ac:dyDescent="0.35">
      <c r="B113" s="3"/>
      <c r="C113" s="3"/>
      <c r="D113" s="2"/>
    </row>
    <row r="114" spans="2:4" x14ac:dyDescent="0.35">
      <c r="B114" s="3"/>
      <c r="C114" s="3"/>
      <c r="D114" s="2"/>
    </row>
    <row r="115" spans="2:4" x14ac:dyDescent="0.35">
      <c r="B115" s="3"/>
      <c r="C115" s="3"/>
      <c r="D115" s="2"/>
    </row>
    <row r="116" spans="2:4" x14ac:dyDescent="0.35">
      <c r="B116" s="3"/>
      <c r="C116" s="3"/>
      <c r="D116" s="2"/>
    </row>
    <row r="117" spans="2:4" x14ac:dyDescent="0.35">
      <c r="B117" s="3"/>
      <c r="C117" s="3"/>
      <c r="D117" s="2"/>
    </row>
    <row r="118" spans="2:4" x14ac:dyDescent="0.35">
      <c r="B118" s="3"/>
      <c r="C118" s="3"/>
      <c r="D118" s="2"/>
    </row>
    <row r="119" spans="2:4" x14ac:dyDescent="0.35">
      <c r="B119" s="3"/>
      <c r="C119" s="3"/>
      <c r="D119" s="2"/>
    </row>
    <row r="120" spans="2:4" x14ac:dyDescent="0.35">
      <c r="B120" s="3"/>
      <c r="C120" s="3"/>
      <c r="D120" s="2"/>
    </row>
    <row r="121" spans="2:4" x14ac:dyDescent="0.35">
      <c r="B121" s="3"/>
      <c r="C121" s="3"/>
      <c r="D121" s="2"/>
    </row>
    <row r="122" spans="2:4" x14ac:dyDescent="0.35">
      <c r="B122" s="3"/>
      <c r="C122" s="3"/>
      <c r="D122" s="2"/>
    </row>
    <row r="123" spans="2:4" x14ac:dyDescent="0.35">
      <c r="B123" s="3"/>
      <c r="C123" s="3"/>
      <c r="D123" s="2"/>
    </row>
    <row r="124" spans="2:4" x14ac:dyDescent="0.35">
      <c r="B124" s="3"/>
      <c r="C124" s="3"/>
      <c r="D124" s="2"/>
    </row>
    <row r="125" spans="2:4" x14ac:dyDescent="0.35">
      <c r="B125" s="3"/>
      <c r="C125" s="3"/>
      <c r="D125" s="2"/>
    </row>
    <row r="126" spans="2:4" x14ac:dyDescent="0.35">
      <c r="B126" s="3"/>
      <c r="C126" s="3"/>
      <c r="D126" s="2"/>
    </row>
    <row r="127" spans="2:4" x14ac:dyDescent="0.35">
      <c r="B127" s="3"/>
      <c r="C127" s="3"/>
      <c r="D127" s="2"/>
    </row>
    <row r="128" spans="2:4" x14ac:dyDescent="0.35">
      <c r="B128" s="3"/>
      <c r="C128" s="3"/>
      <c r="D128" s="2"/>
    </row>
    <row r="129" spans="2:4" x14ac:dyDescent="0.35">
      <c r="B129" s="3"/>
      <c r="C129" s="3"/>
      <c r="D129" s="2"/>
    </row>
    <row r="130" spans="2:4" x14ac:dyDescent="0.35">
      <c r="B130" s="3"/>
      <c r="C130" s="3"/>
      <c r="D130" s="2"/>
    </row>
    <row r="131" spans="2:4" x14ac:dyDescent="0.35">
      <c r="B131" s="3"/>
      <c r="C131" s="3"/>
      <c r="D131" s="2"/>
    </row>
    <row r="132" spans="2:4" x14ac:dyDescent="0.35">
      <c r="B132" s="3"/>
      <c r="C132" s="3"/>
      <c r="D132" s="2"/>
    </row>
    <row r="133" spans="2:4" x14ac:dyDescent="0.35">
      <c r="B133" s="3"/>
      <c r="C133" s="3"/>
      <c r="D133" s="2"/>
    </row>
    <row r="134" spans="2:4" x14ac:dyDescent="0.35">
      <c r="B134" s="3"/>
      <c r="C134" s="3"/>
      <c r="D134" s="2"/>
    </row>
    <row r="135" spans="2:4" x14ac:dyDescent="0.35">
      <c r="B135" s="3"/>
      <c r="C135" s="3"/>
      <c r="D135" s="2"/>
    </row>
    <row r="136" spans="2:4" x14ac:dyDescent="0.35">
      <c r="B136" s="3"/>
      <c r="C136" s="3"/>
      <c r="D136" s="2"/>
    </row>
    <row r="137" spans="2:4" x14ac:dyDescent="0.35">
      <c r="B137" s="3"/>
      <c r="C137" s="3"/>
      <c r="D137" s="2"/>
    </row>
    <row r="138" spans="2:4" x14ac:dyDescent="0.35">
      <c r="B138" s="3"/>
      <c r="C138" s="3"/>
      <c r="D138" s="2"/>
    </row>
    <row r="139" spans="2:4" x14ac:dyDescent="0.35">
      <c r="B139" s="3"/>
      <c r="C139" s="3"/>
      <c r="D139" s="2"/>
    </row>
    <row r="140" spans="2:4" x14ac:dyDescent="0.35">
      <c r="B140" s="3"/>
      <c r="C140" s="3"/>
      <c r="D140" s="2"/>
    </row>
    <row r="141" spans="2:4" x14ac:dyDescent="0.35">
      <c r="B141" s="3"/>
      <c r="C141" s="3"/>
      <c r="D141" s="2"/>
    </row>
    <row r="142" spans="2:4" x14ac:dyDescent="0.35">
      <c r="B142" s="3"/>
      <c r="C142" s="3"/>
      <c r="D142" s="2"/>
    </row>
    <row r="143" spans="2:4" x14ac:dyDescent="0.35">
      <c r="B143" s="3"/>
      <c r="C143" s="3"/>
      <c r="D143" s="2"/>
    </row>
    <row r="144" spans="2:4" x14ac:dyDescent="0.35">
      <c r="B144" s="3"/>
      <c r="C144" s="3"/>
      <c r="D144" s="2"/>
    </row>
    <row r="145" spans="2:4" x14ac:dyDescent="0.35">
      <c r="B145" s="3"/>
      <c r="C145" s="3"/>
      <c r="D145" s="2"/>
    </row>
    <row r="146" spans="2:4" x14ac:dyDescent="0.35">
      <c r="B146" s="3"/>
      <c r="C146" s="3"/>
      <c r="D146" s="2"/>
    </row>
    <row r="147" spans="2:4" x14ac:dyDescent="0.35">
      <c r="B147" s="3"/>
      <c r="C147" s="3"/>
      <c r="D147" s="2"/>
    </row>
    <row r="148" spans="2:4" x14ac:dyDescent="0.35">
      <c r="B148" s="3"/>
      <c r="C148" s="3"/>
      <c r="D148" s="2"/>
    </row>
    <row r="149" spans="2:4" x14ac:dyDescent="0.35">
      <c r="B149" s="3"/>
      <c r="C149" s="3"/>
      <c r="D149" s="2"/>
    </row>
    <row r="150" spans="2:4" x14ac:dyDescent="0.35">
      <c r="B150" s="3"/>
      <c r="C150" s="3"/>
      <c r="D150" s="2"/>
    </row>
    <row r="151" spans="2:4" x14ac:dyDescent="0.35">
      <c r="B151" s="3"/>
      <c r="C151" s="3"/>
      <c r="D151" s="2"/>
    </row>
    <row r="152" spans="2:4" x14ac:dyDescent="0.35">
      <c r="B152" s="3"/>
      <c r="C152" s="3"/>
      <c r="D152" s="2"/>
    </row>
    <row r="153" spans="2:4" x14ac:dyDescent="0.35">
      <c r="B153" s="3"/>
      <c r="C153" s="3"/>
      <c r="D153" s="2"/>
    </row>
    <row r="154" spans="2:4" x14ac:dyDescent="0.35">
      <c r="B154" s="3"/>
      <c r="C154" s="3"/>
      <c r="D154" s="2"/>
    </row>
    <row r="155" spans="2:4" x14ac:dyDescent="0.35">
      <c r="B155" s="3"/>
      <c r="C155" s="3"/>
      <c r="D155" s="2"/>
    </row>
    <row r="156" spans="2:4" x14ac:dyDescent="0.35">
      <c r="B156" s="3"/>
      <c r="C156" s="3"/>
      <c r="D156" s="2"/>
    </row>
    <row r="157" spans="2:4" x14ac:dyDescent="0.35">
      <c r="B157" s="3"/>
      <c r="C157" s="3"/>
      <c r="D157" s="2"/>
    </row>
    <row r="158" spans="2:4" x14ac:dyDescent="0.35">
      <c r="B158" s="3"/>
      <c r="C158" s="3"/>
      <c r="D158" s="2"/>
    </row>
    <row r="159" spans="2:4" x14ac:dyDescent="0.35">
      <c r="B159" s="3"/>
      <c r="C159" s="3"/>
      <c r="D159" s="2"/>
    </row>
    <row r="160" spans="2:4" x14ac:dyDescent="0.35">
      <c r="B160" s="3"/>
      <c r="C160" s="3"/>
      <c r="D160" s="2"/>
    </row>
    <row r="161" spans="2:4" x14ac:dyDescent="0.35">
      <c r="B161" s="3"/>
      <c r="C161" s="3"/>
      <c r="D161" s="2"/>
    </row>
    <row r="162" spans="2:4" x14ac:dyDescent="0.35">
      <c r="B162" s="3"/>
      <c r="C162" s="3"/>
      <c r="D162" s="2"/>
    </row>
    <row r="163" spans="2:4" x14ac:dyDescent="0.35">
      <c r="B163" s="3"/>
      <c r="C163" s="3"/>
      <c r="D163" s="2"/>
    </row>
    <row r="164" spans="2:4" x14ac:dyDescent="0.35">
      <c r="B164" s="3"/>
      <c r="C164" s="3"/>
      <c r="D164" s="2"/>
    </row>
    <row r="165" spans="2:4" x14ac:dyDescent="0.35">
      <c r="B165" s="3"/>
      <c r="C165" s="3"/>
      <c r="D165" s="2"/>
    </row>
    <row r="166" spans="2:4" x14ac:dyDescent="0.35">
      <c r="B166" s="3"/>
      <c r="C166" s="3"/>
      <c r="D166" s="2"/>
    </row>
    <row r="167" spans="2:4" x14ac:dyDescent="0.35">
      <c r="B167" s="3"/>
      <c r="C167" s="3"/>
      <c r="D167" s="2"/>
    </row>
    <row r="168" spans="2:4" x14ac:dyDescent="0.35">
      <c r="B168" s="3"/>
      <c r="C168" s="3"/>
      <c r="D168" s="2"/>
    </row>
    <row r="169" spans="2:4" x14ac:dyDescent="0.35">
      <c r="B169" s="3"/>
      <c r="C169" s="3"/>
      <c r="D169" s="2"/>
    </row>
    <row r="170" spans="2:4" x14ac:dyDescent="0.35">
      <c r="B170" s="3"/>
      <c r="C170" s="3"/>
      <c r="D17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Kshirin Sharma</dc:creator>
  <cp:lastModifiedBy>Kshirin Sharma</cp:lastModifiedBy>
  <dcterms:created xsi:type="dcterms:W3CDTF">2026-09-11T04:26:06Z</dcterms:created>
  <dcterms:modified xsi:type="dcterms:W3CDTF">2026-09-28T10:58:01Z</dcterms:modified>
</cp:coreProperties>
</file>